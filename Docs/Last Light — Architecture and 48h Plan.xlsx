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Architecture" sheetId="2" r:id="rId6"/>
    <sheet state="visible" name="Backlog" sheetId="3" r:id="rId7"/>
    <sheet state="visible" name="Milestones" sheetId="4" r:id="rId8"/>
    <sheet state="visible" name="48h Plan" sheetId="5" r:id="rId9"/>
    <sheet state="visible" name="QA Matrix" sheetId="6" r:id="rId10"/>
    <sheet state="visible" name="Risks &amp; Decisions" sheetId="7" r:id="rId11"/>
    <sheet state="visible" name="Content &amp; Tuning" sheetId="8" r:id="rId12"/>
    <sheet state="visible" name="Read Me" sheetId="9" r:id="rId13"/>
  </sheets>
  <definedNames/>
  <calcPr/>
</workbook>
</file>

<file path=xl/sharedStrings.xml><?xml version="1.0" encoding="utf-8"?>
<sst xmlns="http://schemas.openxmlformats.org/spreadsheetml/2006/main" count="1621" uniqueCount="856">
  <si>
    <t>LAST LIGHT — Architecture &amp; 48-Hour Production Control</t>
  </si>
  <si>
    <t>Senior game-development planning sheet derived from DECISIONS.md, ROADMAP.md, TASKS.md and the production-plan PDF.</t>
  </si>
  <si>
    <t>Control</t>
  </si>
  <si>
    <t>Value</t>
  </si>
  <si>
    <t>Tasks Done</t>
  </si>
  <si>
    <t>Completion</t>
  </si>
  <si>
    <t>Planned Hours</t>
  </si>
  <si>
    <t>Remaining Hours</t>
  </si>
  <si>
    <t>Elapsed jam hours</t>
  </si>
  <si>
    <t>Current gate</t>
  </si>
  <si>
    <t>Feature freeze</t>
  </si>
  <si>
    <t>Build target</t>
  </si>
  <si>
    <t>Android (pending jam-rule confirmation)</t>
  </si>
  <si>
    <t>Product Snapshot</t>
  </si>
  <si>
    <t>Source</t>
  </si>
  <si>
    <t>Task Status</t>
  </si>
  <si>
    <t>Count</t>
  </si>
  <si>
    <t>Epic</t>
  </si>
  <si>
    <t>Planned h</t>
  </si>
  <si>
    <t>Done h</t>
  </si>
  <si>
    <t>Engine / structure</t>
  </si>
  <si>
    <t>Unity 2D, portrait auto-runner</t>
  </si>
  <si>
    <t>TASKS / PDF</t>
  </si>
  <si>
    <t>Backlog</t>
  </si>
  <si>
    <t>E1 Core Controller</t>
  </si>
  <si>
    <t>One-finger horizontal drag</t>
  </si>
  <si>
    <t>Locked</t>
  </si>
  <si>
    <t>Ready</t>
  </si>
  <si>
    <t>E2 Survival Loop</t>
  </si>
  <si>
    <t>Run</t>
  </si>
  <si>
    <t>Six fixed stages, 3–5 minutes</t>
  </si>
  <si>
    <t>In Progress</t>
  </si>
  <si>
    <t>E3 Obstacle Framework</t>
  </si>
  <si>
    <t>Resources</t>
  </si>
  <si>
    <t>Health and relic light are separate</t>
  </si>
  <si>
    <t>Review/Test</t>
  </si>
  <si>
    <t>E4 Level Flow</t>
  </si>
  <si>
    <t>Choice</t>
  </si>
  <si>
    <t>Two physical offers at stage end</t>
  </si>
  <si>
    <t>LL-010</t>
  </si>
  <si>
    <t>Done</t>
  </si>
  <si>
    <t>E5 Choice &amp; Cost</t>
  </si>
  <si>
    <t>Task estimate</t>
  </si>
  <si>
    <t>TASKS total</t>
  </si>
  <si>
    <t>E6 Relic &amp; Endings</t>
  </si>
  <si>
    <t>Nominal buffer</t>
  </si>
  <si>
    <t>Derived</t>
  </si>
  <si>
    <t>E7 UX/UI</t>
  </si>
  <si>
    <t>E8 Art/Audio Polish</t>
  </si>
  <si>
    <t>E9 QA &amp; Submission</t>
  </si>
  <si>
    <t>Gate</t>
  </si>
  <si>
    <t>Name</t>
  </si>
  <si>
    <t>Target h</t>
  </si>
  <si>
    <t>Progress</t>
  </si>
  <si>
    <t>Status</t>
  </si>
  <si>
    <t>PM Rule</t>
  </si>
  <si>
    <t>Senior-dev callout
The 24 tasks total 45.5 estimated hours, leaving only 2.5 nominal hours inside a 48-hour event. G1 alone totals 10.5 hours against an 8-hour gate, so the proposed plan assumes parallel work between the developer and Claude Code. Protect integration time; cut Should work before compressing QA.</t>
  </si>
  <si>
    <t>G1</t>
  </si>
  <si>
    <t>Core playable</t>
  </si>
  <si>
    <t>Proceed only when restart is stable.</t>
  </si>
  <si>
    <t>G2</t>
  </si>
  <si>
    <t>Theme playable</t>
  </si>
  <si>
    <t>Vertical slice must validate the theme.</t>
  </si>
  <si>
    <t>G3</t>
  </si>
  <si>
    <t>End-to-end</t>
  </si>
  <si>
    <t>Cut optional systems if this gate slips.</t>
  </si>
  <si>
    <t>G4</t>
  </si>
  <si>
    <t>Mobile usable</t>
  </si>
  <si>
    <t>Blocking mobile gate.</t>
  </si>
  <si>
    <t>G5</t>
  </si>
  <si>
    <t>Content complete</t>
  </si>
  <si>
    <t>Start feature freeze after this gate.</t>
  </si>
  <si>
    <t>G6</t>
  </si>
  <si>
    <t>Submission ready</t>
  </si>
  <si>
    <t>Ship stable over ambitious.</t>
  </si>
  <si>
    <t>Technical Architecture — Minimal, Data-Driven Unity 2D</t>
  </si>
  <si>
    <t>Architecture is intentionally small for a 48-hour build: one gameplay scene, prefabs for stage chunks, ScriptableObjects for static content, and a run-scoped state object for mutable data. Proposed items are marked for confirmation.</t>
  </si>
  <si>
    <t>1. Input
InputReader</t>
  </si>
  <si>
    <t>2. Player
Motor + Health</t>
  </si>
  <si>
    <t>3. Stage Flow
StageDirector</t>
  </si>
  <si>
    <t>4. Choice
ChoiceGate</t>
  </si>
  <si>
    <t>5. Cost / State
CostApplier + RunState</t>
  </si>
  <si>
    <t>6. Outcome
EndingResolver</t>
  </si>
  <si>
    <t>UI presenters subscribe to C# events. ScriptableObjects hold immutable configuration. RunState owns health, light, stage index and applied modifiers. Restart rebuilds RunState and calls reset hooks; never mutate ScriptableObject assets at runtime.</t>
  </si>
  <si>
    <t>Layer</t>
  </si>
  <si>
    <t>Component / Script</t>
  </si>
  <si>
    <t>Unity Type</t>
  </si>
  <si>
    <t>Responsibility</t>
  </si>
  <si>
    <t>Owns / Reads Data</t>
  </si>
  <si>
    <t>Public Contract</t>
  </si>
  <si>
    <t>Depends On</t>
  </si>
  <si>
    <t>Reset / Lifecycle</t>
  </si>
  <si>
    <t>MVP Rule</t>
  </si>
  <si>
    <t>Architecture Decision</t>
  </si>
  <si>
    <t>Why</t>
  </si>
  <si>
    <t>Owner</t>
  </si>
  <si>
    <t>Review Gate</t>
  </si>
  <si>
    <t>Failure Mode</t>
  </si>
  <si>
    <t>Fallback</t>
  </si>
  <si>
    <t>Composition</t>
  </si>
  <si>
    <t>GameBootstrap</t>
  </si>
  <si>
    <t>MonoBehaviour</t>
  </si>
  <si>
    <t>Wires scene references and starts a new run.</t>
  </si>
  <si>
    <t>BuildConfig, StageCatalog</t>
  </si>
  <si>
    <t>StartRun(), RestartRun()</t>
  </si>
  <si>
    <t>RunController, StageDirector, UI</t>
  </si>
  <si>
    <t>Exists once in gameplay scene</t>
  </si>
  <si>
    <t>No DI framework or service locator.</t>
  </si>
  <si>
    <t>Scene strategy</t>
  </si>
  <si>
    <t>One gameplay scene; six stage prefabs activated sequentially</t>
  </si>
  <si>
    <t>Fast iteration and reliable restart</t>
  </si>
  <si>
    <t>Proposed</t>
  </si>
  <si>
    <t>Developer</t>
  </si>
  <si>
    <t>Scene-load race / soft lock</t>
  </si>
  <si>
    <t>Use additive scenes only if prefab approach fails</t>
  </si>
  <si>
    <t>RunController</t>
  </si>
  <si>
    <t>Authoritative run state machine: Start → Playing → Choosing → Ending → Restarting.</t>
  </si>
  <si>
    <t>RunState</t>
  </si>
  <si>
    <t>BeginStage(), CompleteStage(), EndRun(), Restart()</t>
  </si>
  <si>
    <t>StageDirector, ChoiceGate, EndingResolver</t>
  </si>
  <si>
    <t>Creates fresh RunState on restart</t>
  </si>
  <si>
    <t>Only class allowed to change run phase.</t>
  </si>
  <si>
    <t>Static vs runtime data</t>
  </si>
  <si>
    <t>ScriptableObjects are immutable config; RunState is mutable</t>
  </si>
  <si>
    <t>Prevents state leaking across restarts</t>
  </si>
  <si>
    <t>Asset values persist in editor</t>
  </si>
  <si>
    <t>Recreate runtime copies on BeginRun</t>
  </si>
  <si>
    <t>Plain serializable class</t>
  </si>
  <si>
    <t>Mutable run-scoped data container.</t>
  </si>
  <si>
    <t>Health, light, stage index, modifier stack, chosen costs</t>
  </si>
  <si>
    <t>Read-only properties + narrow mutation methods</t>
  </si>
  <si>
    <t>PlayerHealth, RelicLight, CostApplier</t>
  </si>
  <si>
    <t>New instance each run</t>
  </si>
  <si>
    <t>Never store runtime values in ScriptableObjects.</t>
  </si>
  <si>
    <t>Communication</t>
  </si>
  <si>
    <t>Direct references for commands; C# events for presentation</t>
  </si>
  <si>
    <t>Explicit dependencies without framework overhead</t>
  </si>
  <si>
    <t>Event leaks after restart</t>
  </si>
  <si>
    <t>Bind/unbind in OnEnable/OnDisable</t>
  </si>
  <si>
    <t>Input</t>
  </si>
  <si>
    <t>InputReader</t>
  </si>
  <si>
    <t>Normalizes touch and mouse drag into horizontal intent.</t>
  </si>
  <si>
    <t>Pointer delta / screen position</t>
  </si>
  <si>
    <t>event OnDrag(float normalizedX)</t>
  </si>
  <si>
    <t>PlayerMotor</t>
  </si>
  <si>
    <t>Disable during choice/end screens</t>
  </si>
  <si>
    <t>One input path; no joystick/inertia.</t>
  </si>
  <si>
    <t>Reset contract</t>
  </si>
  <si>
    <t>RunController creates RunState and calls IResettable.ResetRun</t>
  </si>
  <si>
    <t>Makes restart testable and centralized</t>
  </si>
  <si>
    <t>One component retains stale state</t>
  </si>
  <si>
    <t>Automated reset checklist + 10-restart soak</t>
  </si>
  <si>
    <t>Player</t>
  </si>
  <si>
    <t>Moves player horizontally inside playable bounds.</t>
  </si>
  <si>
    <t>Base speed + movement modifiers</t>
  </si>
  <si>
    <t>SetInput(), ApplyMovementModifier()</t>
  </si>
  <si>
    <t>InputReader, RunState</t>
  </si>
  <si>
    <t>Reset position and cached input</t>
  </si>
  <si>
    <t>Auto-forward movement remains stage-driven.</t>
  </si>
  <si>
    <t>Obstacle architecture</t>
  </si>
  <si>
    <t>Shared ObstacleBase + composition, not inheritance tree</t>
  </si>
  <si>
    <t>Two obstacles do not justify abstraction cost</t>
  </si>
  <si>
    <t>Claude Code</t>
  </si>
  <si>
    <t>Duplicated collision logic</t>
  </si>
  <si>
    <t>Extract only collision/damage behavior</t>
  </si>
  <si>
    <t>PlayerHealth</t>
  </si>
  <si>
    <t>Applies damage, invulnerability and death signal.</t>
  </si>
  <si>
    <t>Current/max health, invulnerability timer</t>
  </si>
  <si>
    <t>ApplyDamage(int), event HealthChanged, event Died</t>
  </si>
  <si>
    <t>ObstacleBase, RunController</t>
  </si>
  <si>
    <t>Restore health and timer</t>
  </si>
  <si>
    <t>Start health 3; i-frames 0.8–1.0 s.</t>
  </si>
  <si>
    <t>Content architecture</t>
  </si>
  <si>
    <t>Fixed StageDefinition catalog</t>
  </si>
  <si>
    <t>Matches locked six-stage scope</t>
  </si>
  <si>
    <t>Design requires runtime variation</t>
  </si>
  <si>
    <t>Use parameters, not procedural generation</t>
  </si>
  <si>
    <t>Obstacles</t>
  </si>
  <si>
    <t>ObstacleBase</t>
  </si>
  <si>
    <t>MonoBehaviour / prefab base</t>
  </si>
  <si>
    <t>Common collision, one-hit-per-valid-contact and reset contract.</t>
  </si>
  <si>
    <t>Damage value, active state</t>
  </si>
  <si>
    <t>OnPlayerContact(), ResetObstacle()</t>
  </si>
  <si>
    <t>Reset on stage/restart</t>
  </si>
  <si>
    <t>No deep inheritance; shared component + config.</t>
  </si>
  <si>
    <t>Modifier application</t>
  </si>
  <si>
    <t>Central ModifierStack with hard caps</t>
  </si>
  <si>
    <t>Avoids impossible cost combinations</t>
  </si>
  <si>
    <t>Scattered multipliers create unfair states</t>
  </si>
  <si>
    <t>Route every effect through CostApplier</t>
  </si>
  <si>
    <t>SpikeWall</t>
  </si>
  <si>
    <t>Prefab component</t>
  </si>
  <si>
    <t>Readable configurable safe corridor.</t>
  </si>
  <si>
    <t>Gap position/width</t>
  </si>
  <si>
    <t>Configure(SpikeWallConfig)</t>
  </si>
  <si>
    <t>ObstacleBase, StageDefinition</t>
  </si>
  <si>
    <t>Reinitialize per stage</t>
  </si>
  <si>
    <t>MVP obstacle 1.</t>
  </si>
  <si>
    <t>UI architecture</t>
  </si>
  <si>
    <t>Passive presenters only</t>
  </si>
  <si>
    <t>Keeps game rules out of HUD/cards</t>
  </si>
  <si>
    <t>UI directly mutates state</t>
  </si>
  <si>
    <t>Expose commands on RunController/ChoiceGate</t>
  </si>
  <si>
    <t>MovingBlade</t>
  </si>
  <si>
    <t>Horizontal blade movement with speed and phase.</t>
  </si>
  <si>
    <t>Amplitude, speed, phase</t>
  </si>
  <si>
    <t>Configure(BladeConfig)</t>
  </si>
  <si>
    <t>Reset phase on restart</t>
  </si>
  <si>
    <t>MVP obstacle 2.</t>
  </si>
  <si>
    <t>Performance</t>
  </si>
  <si>
    <t>No pooling unless profiling proves need</t>
  </si>
  <si>
    <t>Six short fixed stages and two obstacle types</t>
  </si>
  <si>
    <t>Instantiation hitch on device</t>
  </si>
  <si>
    <t>Pre-instantiate six chunks disabled</t>
  </si>
  <si>
    <t>Content</t>
  </si>
  <si>
    <t>StageDefinition</t>
  </si>
  <si>
    <t>ScriptableObject</t>
  </si>
  <si>
    <t>Static stage chunk config and prefab reference.</t>
  </si>
  <si>
    <t>Stage ID, prefab, duration, obstacle configs, choice flag</t>
  </si>
  <si>
    <t>Immutable config fields</t>
  </si>
  <si>
    <t>StageDirector</t>
  </si>
  <si>
    <t>Asset lifetime</t>
  </si>
  <si>
    <t>Six fixed entries only; no procedural generation.</t>
  </si>
  <si>
    <t>Flow</t>
  </si>
  <si>
    <t>Loads/activates fixed stage chunks, advances once, prevents soft locks.</t>
  </si>
  <si>
    <t>StageCatalog, current chunk</t>
  </si>
  <si>
    <t>StartStage(index), CompleteCurrentStage(), event StageChanged</t>
  </si>
  <si>
    <t>RunController, StageDefinition</t>
  </si>
  <si>
    <t>Unload/deactivate chunk on transition</t>
  </si>
  <si>
    <t>Single gameplay scene; stage prefabs as children.</t>
  </si>
  <si>
    <t>CostData</t>
  </si>
  <si>
    <t>Data for one offer: icon, copy, benefit, cost/risk type and value.</t>
  </si>
  <si>
    <t>Immutable offer content</t>
  </si>
  <si>
    <t>CostType, Value, Benefit ID</t>
  </si>
  <si>
    <t>ChoiceGate, CostApplier, DecisionCard</t>
  </si>
  <si>
    <t>Stable public API; no scene logic.</t>
  </si>
  <si>
    <t>ChoiceGate</t>
  </si>
  <si>
    <t>Presents two physical altars; commits exactly one selection once.</t>
  </si>
  <si>
    <t>Two CostData offers, selection lock</t>
  </si>
  <si>
    <t>event CostChosen(CostData)</t>
  </si>
  <si>
    <t>RunController, CostApplier</t>
  </si>
  <si>
    <t>Clear selection lock each stage</t>
  </si>
  <si>
    <t>No confirmation button.</t>
  </si>
  <si>
    <t>CostApplier</t>
  </si>
  <si>
    <t>Plain service / component</t>
  </si>
  <si>
    <t>Applies bounded permanent run modifiers.</t>
  </si>
  <si>
    <t>RunState modifier stack</t>
  </si>
  <si>
    <t>Apply(CostData), ValidateCaps()</t>
  </si>
  <si>
    <t>CostData, RunState</t>
  </si>
  <si>
    <t>State removed by new RunState</t>
  </si>
  <si>
    <t>Blood / Light / Sight / Body only.</t>
  </si>
  <si>
    <t>ModifierStack</t>
  </si>
  <si>
    <t>Plain class</t>
  </si>
  <si>
    <t>Centralizes cumulative modifiers and clamps fairness limits.</t>
  </si>
  <si>
    <t>Movement, body scale, sight, max health/light impacts</t>
  </si>
  <si>
    <t>GetEffectiveStats(), AddModifier()</t>
  </si>
  <si>
    <t>CostApplier, PlayerMotor, presentation</t>
  </si>
  <si>
    <t>New per run</t>
  </si>
  <si>
    <t>One source of truth; no scattered multipliers.</t>
  </si>
  <si>
    <t>Resource</t>
  </si>
  <si>
    <t>RelicLight</t>
  </si>
  <si>
    <t>MonoBehaviour presenter/service</t>
  </si>
  <si>
    <t>Tracks 0–100 light separately from health and raises changes.</t>
  </si>
  <si>
    <t>RunState.light</t>
  </si>
  <si>
    <t>ChangeLight(), event LightChanged</t>
  </si>
  <si>
    <t>CostApplier, HUD, EndingResolver</t>
  </si>
  <si>
    <t>Reset to 100</t>
  </si>
  <si>
    <t>May reach 0; clamp 0–100.</t>
  </si>
  <si>
    <t>Ending</t>
  </si>
  <si>
    <t>EndingResolver</t>
  </si>
  <si>
    <t>Plain service</t>
  </si>
  <si>
    <t>Maps final light thresholds to at least two outcomes.</t>
  </si>
  <si>
    <t>EndingDefinition list, RunState.light</t>
  </si>
  <si>
    <t>Resolve(light)</t>
  </si>
  <si>
    <t>RunController, OutcomeScreen</t>
  </si>
  <si>
    <t>Stateless</t>
  </si>
  <si>
    <t>Target 3 endings; minimum 2 after G3.</t>
  </si>
  <si>
    <t>UI</t>
  </si>
  <si>
    <t>HUDPresenter</t>
  </si>
  <si>
    <t>Displays health, stage and light; contains no game logic.</t>
  </si>
  <si>
    <t>Events from health/light/stage</t>
  </si>
  <si>
    <t>Bind()/Unbind()</t>
  </si>
  <si>
    <t>PlayerHealth, RelicLight, StageDirector</t>
  </si>
  <si>
    <t>Refresh on run start</t>
  </si>
  <si>
    <t>Safe-area aware.</t>
  </si>
  <si>
    <t>Screen Presenters</t>
  </si>
  <si>
    <t>MonoBehaviours</t>
  </si>
  <si>
    <t>Start hint, decision cards and outcome/Retry.</t>
  </si>
  <si>
    <t>View models only</t>
  </si>
  <si>
    <t>Show()/Hide()/SetData()</t>
  </si>
  <si>
    <t>RunController, ChoiceGate, EndingResolver</t>
  </si>
  <si>
    <t>Clear transient UI on restart</t>
  </si>
  <si>
    <t>Short icon-heavy English copy.</t>
  </si>
  <si>
    <t>Feedback</t>
  </si>
  <si>
    <t>FeedbackController</t>
  </si>
  <si>
    <t>Essential SFX, impact flash and stage transition feedback.</t>
  </si>
  <si>
    <t>Audio clips / simple VFX refs</t>
  </si>
  <si>
    <t>PlayDamage(), PlayChoice(), PlayTransition()</t>
  </si>
  <si>
    <t>Gameplay events</t>
  </si>
  <si>
    <t>Stop/clear on restart</t>
  </si>
  <si>
    <t>Music optional; shadow must read muted.</t>
  </si>
  <si>
    <t>Build</t>
  </si>
  <si>
    <t>BuildConfig</t>
  </si>
  <si>
    <t>ScriptableObject / project settings</t>
  </si>
  <si>
    <t>Defines portrait target, safe area and primary platform.</t>
  </si>
  <si>
    <t>Platform, orientation, reference aspect</t>
  </si>
  <si>
    <t>Read-only configuration</t>
  </si>
  <si>
    <t>GameBootstrap, UI</t>
  </si>
  <si>
    <t>Android default; WebGL only if rules require.</t>
  </si>
  <si>
    <t>DO NOT BUILD</t>
  </si>
  <si>
    <t>Combat • procedural generation • inventory • dialogue trees • character classes • online features • complex meta-progression • any feature that delays the critical path</t>
  </si>
  <si>
    <t>ID</t>
  </si>
  <si>
    <t>Title</t>
  </si>
  <si>
    <t>Priority</t>
  </si>
  <si>
    <t>Est. h</t>
  </si>
  <si>
    <t>Dependencies</t>
  </si>
  <si>
    <t>Planned Start h</t>
  </si>
  <si>
    <t>Planned End h</t>
  </si>
  <si>
    <t>Actual h</t>
  </si>
  <si>
    <t>% Complete</t>
  </si>
  <si>
    <t>Dependency State</t>
  </si>
  <si>
    <t>Blocker</t>
  </si>
  <si>
    <t>Acceptance Criteria</t>
  </si>
  <si>
    <t>Implementation Note</t>
  </si>
  <si>
    <t>Test Result</t>
  </si>
  <si>
    <t>Changed Files</t>
  </si>
  <si>
    <t>Last Update</t>
  </si>
  <si>
    <t>Critical Path</t>
  </si>
  <si>
    <t>LL-001</t>
  </si>
  <si>
    <t>Create portrait project baseline and Pixel Perfect camera</t>
  </si>
  <si>
    <t>Must</t>
  </si>
  <si>
    <t>None</t>
  </si>
  <si>
    <t>Scene runs at 9:16 reference resolution with correct camera framing and no Console errors.</t>
  </si>
  <si>
    <t>Critical path</t>
  </si>
  <si>
    <t>Not Run</t>
  </si>
  <si>
    <t>Yes</t>
  </si>
  <si>
    <t>LL-002</t>
  </si>
  <si>
    <t>Implement touch and mouse horizontal drag movement</t>
  </si>
  <si>
    <t>A first-time player can move left and right within 10 seconds using mouse or one finger.</t>
  </si>
  <si>
    <t>No inertia or joystick</t>
  </si>
  <si>
    <t>LL-003</t>
  </si>
  <si>
    <t>Implement health, damage and invulnerability</t>
  </si>
  <si>
    <t>Obstacle contact removes one health and repeated contact is blocked for 0.8-1.0 seconds.</t>
  </si>
  <si>
    <t>Start health 3</t>
  </si>
  <si>
    <t>LL-004</t>
  </si>
  <si>
    <t>Implement death and fast restart</t>
  </si>
  <si>
    <t>At zero health the run ends and a new run begins within five seconds with all state reset.</t>
  </si>
  <si>
    <t>Protected core</t>
  </si>
  <si>
    <t>LL-005</t>
  </si>
  <si>
    <t>Build reusable obstacle base and collision setup</t>
  </si>
  <si>
    <t>Obstacle prefabs damage the player once per valid contact and reset correctly.</t>
  </si>
  <si>
    <t>LL-006</t>
  </si>
  <si>
    <t>Create spike wall prefab and variations</t>
  </si>
  <si>
    <t>Spike wall has a clearly readable safe corridor and configurable gap position and width.</t>
  </si>
  <si>
    <t>MVP obstacle 1</t>
  </si>
  <si>
    <t>LL-007</t>
  </si>
  <si>
    <t>Create moving blade prefab</t>
  </si>
  <si>
    <t>Blade moves horizontally with configurable speed and phase and remains visually readable.</t>
  </si>
  <si>
    <t>MVP obstacle 2</t>
  </si>
  <si>
    <t>No</t>
  </si>
  <si>
    <t>LL-008</t>
  </si>
  <si>
    <t>Implement stage start, completion and sequence flow</t>
  </si>
  <si>
    <t>LL-004, LL-006</t>
  </si>
  <si>
    <t>A stage starts, progresses automatically, completes once, and transitions without soft lock.</t>
  </si>
  <si>
    <t>LL-009</t>
  </si>
  <si>
    <t>Create CostData ScriptableObject</t>
  </si>
  <si>
    <t>An offer stores icon, short copy, benefit, cost or risk type, and value without scene-specific logic.</t>
  </si>
  <si>
    <t>Stable public API</t>
  </si>
  <si>
    <t>Implement physical two-offer ChoiceGate</t>
  </si>
  <si>
    <t>LL-008, LL-009</t>
  </si>
  <si>
    <t>Dragging into an altar selects exactly one offer, applies it once, and advances the flow.</t>
  </si>
  <si>
    <t>No confirmation button</t>
  </si>
  <si>
    <t>LL-011</t>
  </si>
  <si>
    <t>Implement CostApplier and modifier caps</t>
  </si>
  <si>
    <t>LL-009, LL-010</t>
  </si>
  <si>
    <t>At least one permanent cost visibly affects the next stage and all modifiers respect documented limits.</t>
  </si>
  <si>
    <t>Blood, Light, Sight, Body</t>
  </si>
  <si>
    <t>LL-012</t>
  </si>
  <si>
    <t>Implement relic light resource</t>
  </si>
  <si>
    <t>Light starts at 100%, updates through events, may reach 0%, and resets on restart.</t>
  </si>
  <si>
    <t>Separate from health</t>
  </si>
  <si>
    <t>LL-013</t>
  </si>
  <si>
    <t>Implement ending resolver and outcome screen</t>
  </si>
  <si>
    <t>At least two endings trigger correctly from remaining-light thresholds and show Retry.</t>
  </si>
  <si>
    <t>Target 3, minimum 2</t>
  </si>
  <si>
    <t>LL-014</t>
  </si>
  <si>
    <t>Assemble six fixed stage chunks</t>
  </si>
  <si>
    <t>LL-007, LL-008, LL-011</t>
  </si>
  <si>
    <t>The game completes from opening through six stages to an ending in under five minutes.</t>
  </si>
  <si>
    <t>Use placeholders first</t>
  </si>
  <si>
    <t>LL-015</t>
  </si>
  <si>
    <t>Create start screen and micro-tutorial</t>
  </si>
  <si>
    <t>Tap starts the run and the drag hint disappears after first movement.</t>
  </si>
  <si>
    <t>Short English copy</t>
  </si>
  <si>
    <t>LL-016</t>
  </si>
  <si>
    <t>Create HUD for health, stage and light</t>
  </si>
  <si>
    <t>LL-003, LL-012</t>
  </si>
  <si>
    <t>HUD reflects health, current stage and light without containing game logic.</t>
  </si>
  <si>
    <t>Safe area required</t>
  </si>
  <si>
    <t>LL-017</t>
  </si>
  <si>
    <t>Create concise decision cards</t>
  </si>
  <si>
    <t>Each card shows an icon, one benefit line, and Cost or Risk copy within roughly 8-12 words.</t>
  </si>
  <si>
    <t>Readability gate</t>
  </si>
  <si>
    <t>LL-018</t>
  </si>
  <si>
    <t>Run first real-device input test</t>
  </si>
  <si>
    <t>LL-002, LL-004</t>
  </si>
  <si>
    <t>QA / Developer</t>
  </si>
  <si>
    <t>Input, safe area and frame rate are acceptable on at least one Android device.</t>
  </si>
  <si>
    <t>Mandatory early test</t>
  </si>
  <si>
    <t>LL-019</t>
  </si>
  <si>
    <t>Pass min-speed and max-body fairness matrix</t>
  </si>
  <si>
    <t>LL-011, LL-014</t>
  </si>
  <si>
    <t>QA / Claude Code</t>
  </si>
  <si>
    <t>Every stage is passable at minimum allowed movement speed and maximum character size.</t>
  </si>
  <si>
    <t>Block release if failed</t>
  </si>
  <si>
    <t>LL-020</t>
  </si>
  <si>
    <t>Replace critical placeholders with minimum pixel-art set</t>
  </si>
  <si>
    <t>Should</t>
  </si>
  <si>
    <t>G3 passed</t>
  </si>
  <si>
    <t>Art</t>
  </si>
  <si>
    <t>Traveller, light, two obstacles, altar and minimum ending visuals are readable and integrated.</t>
  </si>
  <si>
    <t>Must not block critical path</t>
  </si>
  <si>
    <t>LL-021</t>
  </si>
  <si>
    <t>Add essential SFX and impact feedback</t>
  </si>
  <si>
    <t>Audio / Developer</t>
  </si>
  <si>
    <t>Damage, cost selection and stage transition have clear feedback; shadow remains readable muted.</t>
  </si>
  <si>
    <t>Music optional</t>
  </si>
  <si>
    <t>LL-022</t>
  </si>
  <si>
    <t>Run external playtest and decision review</t>
  </si>
  <si>
    <t>PM / QA</t>
  </si>
  <si>
    <t>Record control comprehension, cost clarity, fairness, run time and retry intent; convert findings into prioritized fixes.</t>
  </si>
  <si>
    <t>5-10 rapid tests</t>
  </si>
  <si>
    <t>LL-023</t>
  </si>
  <si>
    <t>Feature freeze and blocker-only pass</t>
  </si>
  <si>
    <t>G5 passed</t>
  </si>
  <si>
    <t>Developer + QA</t>
  </si>
  <si>
    <t>Only blocker, build and readability fixes are accepted; zero blocker bugs remain.</t>
  </si>
  <si>
    <t>Begins with 10 hours remaining</t>
  </si>
  <si>
    <t>LL-024</t>
  </si>
  <si>
    <t>Create final build and submission assets</t>
  </si>
  <si>
    <t>Developer + PM</t>
  </si>
  <si>
    <t>Final build, controls, description, screenshots and submission page are complete and smoke-tested.</t>
  </si>
  <si>
    <t>Primary Android unless rules require WebGL</t>
  </si>
  <si>
    <t>Target Hour</t>
  </si>
  <si>
    <t>Pass Condition</t>
  </si>
  <si>
    <t>Tasks</t>
  </si>
  <si>
    <t>Gate Status</t>
  </si>
  <si>
    <t>Evidence / Notes</t>
  </si>
  <si>
    <t>Character moves, takes damage, dies and restarts.</t>
  </si>
  <si>
    <t>LL-001 to LL-007</t>
  </si>
  <si>
    <t>PM / Lead</t>
  </si>
  <si>
    <t>Two decisions exist and one permanent cost is felt in the next stage.</t>
  </si>
  <si>
    <t>LL-008 to LL-012</t>
  </si>
  <si>
    <t>Six stages complete from opening to ending.</t>
  </si>
  <si>
    <t>LL-013 to LL-017</t>
  </si>
  <si>
    <t>Input, safe area and performance pass on a real device.</t>
  </si>
  <si>
    <t>Two obstacles, four costs/risks, two endings and essential UI are complete.</t>
  </si>
  <si>
    <t>LL-019 to LL-022</t>
  </si>
  <si>
    <t>No blockers; build, description, screenshots and controls are ready.</t>
  </si>
  <si>
    <t>LL-023 to LL-024</t>
  </si>
  <si>
    <t>48-Hour Delivery Plan &amp; Proposed Parallel Schedule</t>
  </si>
  <si>
    <t>Start</t>
  </si>
  <si>
    <t>End</t>
  </si>
  <si>
    <t>Goal</t>
  </si>
  <si>
    <t>Allowed Work</t>
  </si>
  <si>
    <t>Cut Trigger</t>
  </si>
  <si>
    <t>Control, survival, two obstacles</t>
  </si>
  <si>
    <t>No polish before restart is stable</t>
  </si>
  <si>
    <t>Theme vertical slice</t>
  </si>
  <si>
    <t>Stage flow, choice, first costs, light</t>
  </si>
  <si>
    <t>Use placeholder UI and art</t>
  </si>
  <si>
    <t>End-to-end run</t>
  </si>
  <si>
    <t>Six stages, ending, essential UX</t>
  </si>
  <si>
    <t>Cut third obstacle and variation</t>
  </si>
  <si>
    <t>Mobile, content and playtest</t>
  </si>
  <si>
    <t>LL-018 to LL-022</t>
  </si>
  <si>
    <t>Device fixes, fairness, minimum art/audio</t>
  </si>
  <si>
    <t>Cut music layers and extra endings</t>
  </si>
  <si>
    <t>G4 / G5</t>
  </si>
  <si>
    <t>Blocker, build and readability fixes only</t>
  </si>
  <si>
    <t>No new systems</t>
  </si>
  <si>
    <t>Gantt — 2-hour buckets</t>
  </si>
  <si>
    <t>Task</t>
  </si>
  <si>
    <t>Start h</t>
  </si>
  <si>
    <t>End h</t>
  </si>
  <si>
    <t>Duration</t>
  </si>
  <si>
    <t>Test ID</t>
  </si>
  <si>
    <t>Type</t>
  </si>
  <si>
    <t>System</t>
  </si>
  <si>
    <t>Scenario / Requirement</t>
  </si>
  <si>
    <t>Expected Result</t>
  </si>
  <si>
    <t>Device / Mode</t>
  </si>
  <si>
    <t>Severity</t>
  </si>
  <si>
    <t>T-001</t>
  </si>
  <si>
    <t>Task Acceptance</t>
  </si>
  <si>
    <t>Unity Play Mode</t>
  </si>
  <si>
    <t>T-002</t>
  </si>
  <si>
    <t>T-003</t>
  </si>
  <si>
    <t>T-004</t>
  </si>
  <si>
    <t>T-005</t>
  </si>
  <si>
    <t>T-006</t>
  </si>
  <si>
    <t>T-007</t>
  </si>
  <si>
    <t>T-008</t>
  </si>
  <si>
    <t>T-009</t>
  </si>
  <si>
    <t>T-010</t>
  </si>
  <si>
    <t>T-011</t>
  </si>
  <si>
    <t>T-012</t>
  </si>
  <si>
    <t>T-013</t>
  </si>
  <si>
    <t>T-014</t>
  </si>
  <si>
    <t>T-015</t>
  </si>
  <si>
    <t>T-016</t>
  </si>
  <si>
    <t>T-017</t>
  </si>
  <si>
    <t>T-018</t>
  </si>
  <si>
    <t>Android device</t>
  </si>
  <si>
    <t>T-019</t>
  </si>
  <si>
    <t>T-020</t>
  </si>
  <si>
    <t>Major</t>
  </si>
  <si>
    <t>T-021</t>
  </si>
  <si>
    <t>T-022</t>
  </si>
  <si>
    <t>T-023</t>
  </si>
  <si>
    <t>T-024</t>
  </si>
  <si>
    <t>T-025</t>
  </si>
  <si>
    <t>Cross-system</t>
  </si>
  <si>
    <t>Restart</t>
  </si>
  <si>
    <t>Complete 10 death/retry cycles after different costs</t>
  </si>
  <si>
    <t>No stale modifiers, duplicate events, disabled input or retained stage objects</t>
  </si>
  <si>
    <t>Play Mode</t>
  </si>
  <si>
    <t>Developer / QA</t>
  </si>
  <si>
    <t>T-026</t>
  </si>
  <si>
    <t>Enter both altar colliders rapidly / multi-touch</t>
  </si>
  <si>
    <t>Exactly one CostData commits and stage advances once</t>
  </si>
  <si>
    <t>Play Mode + device</t>
  </si>
  <si>
    <t>QA</t>
  </si>
  <si>
    <t>T-027</t>
  </si>
  <si>
    <t>Fairness</t>
  </si>
  <si>
    <t>Modifiers</t>
  </si>
  <si>
    <t>Minimum movement speed + maximum body size across six stages</t>
  </si>
  <si>
    <t>Every corridor and blade timing remains passable</t>
  </si>
  <si>
    <t>T-028</t>
  </si>
  <si>
    <t>Boundary</t>
  </si>
  <si>
    <t>Relic / Ending</t>
  </si>
  <si>
    <t>Finish with relic light exactly 0</t>
  </si>
  <si>
    <t>Valid ending resolves; no negative value or soft lock</t>
  </si>
  <si>
    <t>T-029</t>
  </si>
  <si>
    <t>Test values one unit below/at/above each ending threshold</t>
  </si>
  <si>
    <t>Every value maps to exactly one outcome</t>
  </si>
  <si>
    <t>T-030</t>
  </si>
  <si>
    <t>Full Run</t>
  </si>
  <si>
    <t>Three complete runs with different choices</t>
  </si>
  <si>
    <t>Each run completes in 3–5 minutes with stable frame pacing</t>
  </si>
  <si>
    <t>QA / PM</t>
  </si>
  <si>
    <t>T-031</t>
  </si>
  <si>
    <t>Mobile UX</t>
  </si>
  <si>
    <t>Safe Area</t>
  </si>
  <si>
    <t>Test representative 9:16 devices with notch/navigation insets</t>
  </si>
  <si>
    <t>HUD and cards remain visible and tappable</t>
  </si>
  <si>
    <t>T-032</t>
  </si>
  <si>
    <t>Readability</t>
  </si>
  <si>
    <t>Visuals</t>
  </si>
  <si>
    <t>Play muted and with low screen brightness</t>
  </si>
  <si>
    <t>Shadow, damage, safe corridors and choices remain readable</t>
  </si>
  <si>
    <t>Art / QA</t>
  </si>
  <si>
    <t>T-033</t>
  </si>
  <si>
    <t>Stability</t>
  </si>
  <si>
    <t>Console</t>
  </si>
  <si>
    <t>Run full game and restart repeatedly</t>
  </si>
  <si>
    <t>No new errors; warnings are reviewed and accepted</t>
  </si>
  <si>
    <t>Development build</t>
  </si>
  <si>
    <t>T-034</t>
  </si>
  <si>
    <t>Submission</t>
  </si>
  <si>
    <t>Fresh install final package and follow listed controls</t>
  </si>
  <si>
    <t>Launch, play, retry and exit work; screenshots/description match build</t>
  </si>
  <si>
    <t>Target platform</t>
  </si>
  <si>
    <t>Decisions, Risks and Scope Guardrails</t>
  </si>
  <si>
    <t>Decision ID</t>
  </si>
  <si>
    <t>Area</t>
  </si>
  <si>
    <t>Decision</t>
  </si>
  <si>
    <t>Notes</t>
  </si>
  <si>
    <t>D-01</t>
  </si>
  <si>
    <t>Scope</t>
  </si>
  <si>
    <t>No feature is added unless another feature is removed.</t>
  </si>
  <si>
    <t>Accepted</t>
  </si>
  <si>
    <t>DECISIONS.md</t>
  </si>
  <si>
    <t>PM</t>
  </si>
  <si>
    <t>All</t>
  </si>
  <si>
    <t>Locked scope rule</t>
  </si>
  <si>
    <t>D-02</t>
  </si>
  <si>
    <t>Android by default; switch to WebGL only if jam rules require it.</t>
  </si>
  <si>
    <t>Pending</t>
  </si>
  <si>
    <t>Confirm jam submission rules immediately</t>
  </si>
  <si>
    <t>D-03</t>
  </si>
  <si>
    <t>Language</t>
  </si>
  <si>
    <t>Use icon-heavy short English copy.</t>
  </si>
  <si>
    <t>Design</t>
  </si>
  <si>
    <t>Protect mobile readability</t>
  </si>
  <si>
    <t>D-04</t>
  </si>
  <si>
    <t>Endings</t>
  </si>
  <si>
    <t>Three target, two minimum; decide after G3.</t>
  </si>
  <si>
    <t>PM / Design</t>
  </si>
  <si>
    <t>Cut third ending if gate slips</t>
  </si>
  <si>
    <t>D-05</t>
  </si>
  <si>
    <t>Core Loop</t>
  </si>
  <si>
    <t>Auto-run, horizontal drag, avoidance, end-stage choice, permanent sacrifice.</t>
  </si>
  <si>
    <t>Lead</t>
  </si>
  <si>
    <t>Protected pillar</t>
  </si>
  <si>
    <t>D-06</t>
  </si>
  <si>
    <t>Health and relic light are separate resources.</t>
  </si>
  <si>
    <t>Do not merge into one meter</t>
  </si>
  <si>
    <t>D-07</t>
  </si>
  <si>
    <t>Run Structure</t>
  </si>
  <si>
    <t>Six short fixed stages; total run 3–5 minutes.</t>
  </si>
  <si>
    <t>No procedural stage generation</t>
  </si>
  <si>
    <t>D-08</t>
  </si>
  <si>
    <t>Freeze</t>
  </si>
  <si>
    <t>Feature freeze at Hour 38; blockers/build/readability only.</t>
  </si>
  <si>
    <t>D-09</t>
  </si>
  <si>
    <t>Architecture</t>
  </si>
  <si>
    <t>One scene + stage prefabs + immutable ScriptableObject config + mutable RunState.</t>
  </si>
  <si>
    <t>Architecture sheet</t>
  </si>
  <si>
    <t>G1/G2</t>
  </si>
  <si>
    <t>Accept before implementation spreads</t>
  </si>
  <si>
    <t>D-10</t>
  </si>
  <si>
    <t>Modifier Caps</t>
  </si>
  <si>
    <t>All Blood/Light/Sight/Body effects route through one capped ModifierStack.</t>
  </si>
  <si>
    <t>Prevents impossible combinations</t>
  </si>
  <si>
    <t>Risk ID</t>
  </si>
  <si>
    <t>Risk</t>
  </si>
  <si>
    <t>Category</t>
  </si>
  <si>
    <t>Likelihood</t>
  </si>
  <si>
    <t>Impact</t>
  </si>
  <si>
    <t>Score</t>
  </si>
  <si>
    <t>Trigger</t>
  </si>
  <si>
    <t>Mitigation / Response</t>
  </si>
  <si>
    <t>Linked Gate</t>
  </si>
  <si>
    <t>R-01</t>
  </si>
  <si>
    <t>Scope growth</t>
  </si>
  <si>
    <t>Product</t>
  </si>
  <si>
    <t>Any new feature request</t>
  </si>
  <si>
    <t>Move to Parking Lot unless it explicitly replaces existing scope.</t>
  </si>
  <si>
    <t>Open</t>
  </si>
  <si>
    <t>R-02</t>
  </si>
  <si>
    <t>Mobile input feel</t>
  </si>
  <si>
    <t>Technical</t>
  </si>
  <si>
    <t>Drag feels laggy or imprecise on device</t>
  </si>
  <si>
    <t>Run early real-device test; tune smoothing and bounds before polish.</t>
  </si>
  <si>
    <t>R-03</t>
  </si>
  <si>
    <t>Impossible cost combinations</t>
  </si>
  <si>
    <t>Design / Technical</t>
  </si>
  <si>
    <t>Any stage fails min-speed/max-body matrix</t>
  </si>
  <si>
    <t>Central caps; test every stage at worst-case modifier combination.</t>
  </si>
  <si>
    <t>R-04</t>
  </si>
  <si>
    <t>Insufficient schedule buffer</t>
  </si>
  <si>
    <t>Delivery</t>
  </si>
  <si>
    <t>Gate slips by &gt;1 hour</t>
  </si>
  <si>
    <t>Cut Should tasks and third ending; preserve QA and build time.</t>
  </si>
  <si>
    <t>R-05</t>
  </si>
  <si>
    <t>Restart state leakage</t>
  </si>
  <si>
    <t>Second run differs due to stale events/modifiers</t>
  </si>
  <si>
    <t>Fresh RunState; explicit reset contract; 10-restart soak test.</t>
  </si>
  <si>
    <t>G1/G3</t>
  </si>
  <si>
    <t>R-06</t>
  </si>
  <si>
    <t>Stage transition soft lock</t>
  </si>
  <si>
    <t>Completion or choice fires twice / never fires</t>
  </si>
  <si>
    <t>Single RunController phase authority; idempotent completion guards.</t>
  </si>
  <si>
    <t>G2/G3</t>
  </si>
  <si>
    <t>R-07</t>
  </si>
  <si>
    <t>Late Android build failure</t>
  </si>
  <si>
    <t>No installable device build by Hour 28</t>
  </si>
  <si>
    <t>Create first development build at G3 and smoke test immediately.</t>
  </si>
  <si>
    <t>G4/G6</t>
  </si>
  <si>
    <t>R-08</t>
  </si>
  <si>
    <t>Mobile readability failure</t>
  </si>
  <si>
    <t>UX</t>
  </si>
  <si>
    <t>Choices or hazards unclear at device size</t>
  </si>
  <si>
    <t>Safe-area UI; icon-first cards; muted/low-brightness readability test.</t>
  </si>
  <si>
    <t>Design / QA</t>
  </si>
  <si>
    <t>G3/G5</t>
  </si>
  <si>
    <t>Explicitly Out of Scope</t>
  </si>
  <si>
    <t>Reason</t>
  </si>
  <si>
    <t>Disposition</t>
  </si>
  <si>
    <t>Combat</t>
  </si>
  <si>
    <t>Not required for protected MVP</t>
  </si>
  <si>
    <t>Parking Lot / reject</t>
  </si>
  <si>
    <t>Procedural generation</t>
  </si>
  <si>
    <t>Inventory systems</t>
  </si>
  <si>
    <t>Dialogue trees</t>
  </si>
  <si>
    <t>Multiple character classes</t>
  </si>
  <si>
    <t>Online features</t>
  </si>
  <si>
    <t>Complex meta-progression</t>
  </si>
  <si>
    <t>Any feature that delays the critical path</t>
  </si>
  <si>
    <t>Content Blueprint &amp; Tuning Guardrails</t>
  </si>
  <si>
    <t>Source-backed values are marked Locked/Accepted. Proposed tuning values are starting points and must be confirmed through the G4/G5 device and fairness tests.</t>
  </si>
  <si>
    <t>Parameter</t>
  </si>
  <si>
    <t>Validation</t>
  </si>
  <si>
    <t>Reference aspect</t>
  </si>
  <si>
    <t>9:16 portrait</t>
  </si>
  <si>
    <t>LL-001 / product pillar</t>
  </si>
  <si>
    <t>Real-device safe-area pass</t>
  </si>
  <si>
    <t>Start health</t>
  </si>
  <si>
    <t>Damage and restart tests</t>
  </si>
  <si>
    <t>Invulnerability</t>
  </si>
  <si>
    <t>0.8–1.0 s</t>
  </si>
  <si>
    <t>Repeated-contact test</t>
  </si>
  <si>
    <t>Relic light start</t>
  </si>
  <si>
    <t>Clamp and reset test</t>
  </si>
  <si>
    <t>Stage count</t>
  </si>
  <si>
    <t>End-to-end gate</t>
  </si>
  <si>
    <t>Run duration</t>
  </si>
  <si>
    <t>3–5 min</t>
  </si>
  <si>
    <t>Three full-run measurements</t>
  </si>
  <si>
    <t>Offers per gate</t>
  </si>
  <si>
    <t>Single-selection test</t>
  </si>
  <si>
    <t>Ending count</t>
  </si>
  <si>
    <t>2 minimum / 3 target</t>
  </si>
  <si>
    <t>Decision after G3</t>
  </si>
  <si>
    <t>Movement speed floor</t>
  </si>
  <si>
    <t>70% of baseline</t>
  </si>
  <si>
    <t>Senior-dev planning</t>
  </si>
  <si>
    <t>Fairness matrix</t>
  </si>
  <si>
    <t>Body scale ceiling</t>
  </si>
  <si>
    <t>125% of baseline</t>
  </si>
  <si>
    <t>Max-health floor</t>
  </si>
  <si>
    <t>1</t>
  </si>
  <si>
    <t>Cost-combination test</t>
  </si>
  <si>
    <t>Sight visibility floor</t>
  </si>
  <si>
    <t>65% useful playfield</t>
  </si>
  <si>
    <t>Mobile readability test</t>
  </si>
  <si>
    <t>Stage</t>
  </si>
  <si>
    <t>Purpose</t>
  </si>
  <si>
    <t>Primary Hazard</t>
  </si>
  <si>
    <t>Secondary Pressure</t>
  </si>
  <si>
    <t>Choice After Stage?</t>
  </si>
  <si>
    <t>Target Duration</t>
  </si>
  <si>
    <t>Tuning Focus</t>
  </si>
  <si>
    <t>Exit Criteria</t>
  </si>
  <si>
    <t>Teach drag and safe corridor</t>
  </si>
  <si>
    <t>Spike wall</t>
  </si>
  <si>
    <t>None / generous gap</t>
  </si>
  <si>
    <t>25–35 s</t>
  </si>
  <si>
    <t>Control comprehension</t>
  </si>
  <si>
    <t>Player reaches gate without text-heavy tutorial</t>
  </si>
  <si>
    <t>Teach blade timing</t>
  </si>
  <si>
    <t>Moving blade</t>
  </si>
  <si>
    <t>Wide corridor</t>
  </si>
  <si>
    <t>Readable timing</t>
  </si>
  <si>
    <t>Player understands moving hazard</t>
  </si>
  <si>
    <t>Combine learned hazards</t>
  </si>
  <si>
    <t>Spike + blade</t>
  </si>
  <si>
    <t>First permanent cost active</t>
  </si>
  <si>
    <t>30–40 s</t>
  </si>
  <si>
    <t>Cost is visibly felt</t>
  </si>
  <si>
    <t>No unfair overlap</t>
  </si>
  <si>
    <t>Raise tempo</t>
  </si>
  <si>
    <t>Alternating corridors</t>
  </si>
  <si>
    <t>Faster blade phase</t>
  </si>
  <si>
    <t>Speed/body cap safety</t>
  </si>
  <si>
    <t>Passable at worst movement modifier</t>
  </si>
  <si>
    <t>Decision consequence peak</t>
  </si>
  <si>
    <t>Mixed fixed pattern</t>
  </si>
  <si>
    <t>Reduced sight or light pressure</t>
  </si>
  <si>
    <t>35–45 s</t>
  </si>
  <si>
    <t>Readability under costs</t>
  </si>
  <si>
    <t>Fairness matrix passes</t>
  </si>
  <si>
    <t>Final gauntlet and resolve</t>
  </si>
  <si>
    <t>Best two patterns</t>
  </si>
  <si>
    <t>No new mechanics</t>
  </si>
  <si>
    <t>No — resolve ending</t>
  </si>
  <si>
    <t>35–50 s</t>
  </si>
  <si>
    <t>Climax without novelty</t>
  </si>
  <si>
    <t>Ending triggers and Retry is shown</t>
  </si>
  <si>
    <t>Cost Type</t>
  </si>
  <si>
    <t>Runtime Variable</t>
  </si>
  <si>
    <t>Example Cost</t>
  </si>
  <si>
    <t>Hard Cap</t>
  </si>
  <si>
    <t>Example Benefit</t>
  </si>
  <si>
    <t>Implementation</t>
  </si>
  <si>
    <t>Player Feedback</t>
  </si>
  <si>
    <t>QA Boundary</t>
  </si>
  <si>
    <t>Blood</t>
  </si>
  <si>
    <t>Max/current health</t>
  </si>
  <si>
    <t>-1 max health</t>
  </si>
  <si>
    <t>Minimum 1</t>
  </si>
  <si>
    <t>Wider safe corridor in next stage</t>
  </si>
  <si>
    <t>ModifierStack + PlayerHealth refresh</t>
  </si>
  <si>
    <t>Heart cracks / red flash</t>
  </si>
  <si>
    <t>Apply repeatedly to floor</t>
  </si>
  <si>
    <t>Design / Dev</t>
  </si>
  <si>
    <t>Keep separate from relic light</t>
  </si>
  <si>
    <t>Light</t>
  </si>
  <si>
    <t>Relic light</t>
  </si>
  <si>
    <t>-15 to -25 light</t>
  </si>
  <si>
    <t>Clamp 0–100</t>
  </si>
  <si>
    <t>Remove one hazard or slow stage pressure</t>
  </si>
  <si>
    <t>RelicLight.ChangeLight</t>
  </si>
  <si>
    <t>Relic dims; HUD pulse</t>
  </si>
  <si>
    <t>0, threshold−1, threshold, threshold+1</t>
  </si>
  <si>
    <t>Light can reach 0</t>
  </si>
  <si>
    <t>Sight</t>
  </si>
  <si>
    <t>Visibility mask</t>
  </si>
  <si>
    <t>Reduce useful view area</t>
  </si>
  <si>
    <t>Minimum 65% useful playfield</t>
  </si>
  <si>
    <t>Reveal safe lane earlier / simplify pattern</t>
  </si>
  <si>
    <t>SightPresenter reads ModifierStack</t>
  </si>
  <si>
    <t>Vignette closes gradually</t>
  </si>
  <si>
    <t>Lowest sight on smallest device</t>
  </si>
  <si>
    <t>Design / Art</t>
  </si>
  <si>
    <t>Never hide critical collision cues</t>
  </si>
  <si>
    <t>Body</t>
  </si>
  <si>
    <t>Move speed or body scale</t>
  </si>
  <si>
    <t>-10% speed or +10% size</t>
  </si>
  <si>
    <t>Speed ≥70%; scale ≤125%</t>
  </si>
  <si>
    <t>Slower obstacle / wider gap</t>
  </si>
  <si>
    <t>PlayerMotor + visual scale from one modifier</t>
  </si>
  <si>
    <t>Silhouette grows / motion changes</t>
  </si>
  <si>
    <t>Min speed + max body on every stage</t>
  </si>
  <si>
    <t>Avoid applying both speed and size in one offer</t>
  </si>
  <si>
    <t>How to Use This Planning Workbook</t>
  </si>
  <si>
    <t>Instructions</t>
  </si>
  <si>
    <t>Planning Assumptions</t>
  </si>
  <si>
    <t>Dashboard</t>
  </si>
  <si>
    <t>Update Elapsed jam hours. KPIs and gate health recalculate from Backlog and Milestones.</t>
  </si>
  <si>
    <t>• Unity 2D is inferred from Pixel Perfect camera and Unity Play Mode requirements.
• The schedule uses parallel Developer / Claude Code / Art / QA lanes because G1 contains 10.5 estimated hours but targets Hour 8.
• Technical architecture, stage blueprint and modifier caps are senior-developer proposals; confirm them at the stated review gates.
• No new gameplay system should be introduced after Hour 38.</t>
  </si>
  <si>
    <t>Change Status, Owner, Actual h, Blocker, Test Result, Changed Files and Last Update. Do not start work unless Dependency State is Ready.</t>
  </si>
  <si>
    <t>Accept or adjust proposed architecture decisions before G1/G2. Keep the system intentionally small.</t>
  </si>
  <si>
    <t>Milestones</t>
  </si>
  <si>
    <t>A gate passes only when all linked tasks are Done and the pass condition has evidence.</t>
  </si>
  <si>
    <t>48h Plan</t>
  </si>
  <si>
    <t>Use the proposed parallel lanes as a starting point. Preserve Hour 38 feature freeze and final build buffer.</t>
  </si>
  <si>
    <t>QA Matrix</t>
  </si>
  <si>
    <t>Every task has a matching acceptance test plus cross-system, mobile, fairness and submission tests.</t>
  </si>
  <si>
    <t>Risks &amp; Decisions</t>
  </si>
  <si>
    <t>Resolve pending build target immediately and ending count after G3. Review high risk scores daily.</t>
  </si>
  <si>
    <t>Content &amp; Tuning</t>
  </si>
  <si>
    <t>Proposed modifier caps are hypotheses, not facts; confirm through device/fairness testing.</t>
  </si>
  <si>
    <t>Status Workflow</t>
  </si>
  <si>
    <t>Backlog → Ready → In Progress → Review/Test → Done. A task is not Done until tested.</t>
  </si>
  <si>
    <t>Scope Rule</t>
  </si>
  <si>
    <t>Source File</t>
  </si>
  <si>
    <t>Authority</t>
  </si>
  <si>
    <t>Locked product decisions, risks and out-of-scope list</t>
  </si>
  <si>
    <t>High</t>
  </si>
  <si>
    <t>Read first</t>
  </si>
  <si>
    <t>ROADMAP.md</t>
  </si>
  <si>
    <t>48-hour phases, milestone gates and critical path</t>
  </si>
  <si>
    <t>Gate timing source</t>
  </si>
  <si>
    <t>TASKS.md</t>
  </si>
  <si>
    <t>Authoritative implementation queue and acceptance criteria</t>
  </si>
  <si>
    <t>Highest</t>
  </si>
  <si>
    <t>Status source of truth</t>
  </si>
  <si>
    <t>Last_Light_Project_Plan.pdf</t>
  </si>
  <si>
    <t>Human-readable consolidated production plan</t>
  </si>
  <si>
    <t>Reference</t>
  </si>
  <si>
    <t>Visually verified: 7 pages</t>
  </si>
  <si>
    <t>README.md</t>
  </si>
  <si>
    <t>Package usage instructions</t>
  </si>
  <si>
    <t>Claude Code sequencing instructions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</si>
</sst>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&quot; h&quot;"/>
    <numFmt numFmtId="165" formatCode="0.0"/>
    <numFmt numFmtId="166" formatCode="yyyy-mm-dd hh:mm"/>
    <numFmt numFmtId="167" formatCode="0&quot; h&quot;"/>
  </numFmts>
  <fonts count="13">
    <font>
      <sz val="11.0"/>
      <color rgb="FF000000"/>
      <name val="Carlito"/>
      <scheme val="minor"/>
    </font>
    <font>
      <b/>
      <sz val="20.0"/>
      <color rgb="FFFFFFFF"/>
      <name val="Carlito"/>
    </font>
    <font>
      <i/>
      <sz val="11.0"/>
      <color rgb="FF475569"/>
      <name val="Carlito"/>
    </font>
    <font>
      <b/>
      <sz val="11.0"/>
      <color rgb="FFFFFFFF"/>
      <name val="Carlito"/>
    </font>
    <font>
      <sz val="10.0"/>
      <color rgb="FF0F172A"/>
      <name val="Carlito"/>
    </font>
    <font>
      <b/>
      <sz val="18.0"/>
      <color rgb="FF0F172A"/>
      <name val="Carlito"/>
    </font>
    <font>
      <b/>
      <sz val="11.0"/>
      <color rgb="FF78350F"/>
      <name val="Carlito"/>
    </font>
    <font>
      <i/>
      <sz val="11.0"/>
      <color rgb="FF4C1D95"/>
      <name val="Carlito"/>
    </font>
    <font>
      <b/>
      <sz val="12.0"/>
      <color rgb="FFFFFFFF"/>
      <name val="Carlito"/>
    </font>
    <font>
      <b/>
      <sz val="11.0"/>
      <color rgb="FF334155"/>
      <name val="Carlito"/>
    </font>
    <font>
      <b/>
      <sz val="11.0"/>
      <color rgb="FF991B1B"/>
      <name val="Carlito"/>
    </font>
    <font>
      <sz val="11.0"/>
      <color theme="1"/>
      <name val="Carlito"/>
    </font>
    <font>
      <i/>
      <sz val="11.0"/>
      <color rgb="FF78350F"/>
      <name val="Carlito"/>
    </font>
  </fonts>
  <fills count="16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8FAFC"/>
        <bgColor rgb="FFF8FAFC"/>
      </patternFill>
    </fill>
    <fill>
      <patternFill patternType="solid">
        <fgColor rgb="FF4F46E5"/>
        <bgColor rgb="FF4F46E5"/>
      </patternFill>
    </fill>
    <fill>
      <patternFill patternType="solid">
        <fgColor rgb="FF0F766E"/>
        <bgColor rgb="FF0F766E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FFFFFF"/>
        <bgColor rgb="FFFFFFFF"/>
      </patternFill>
    </fill>
    <fill>
      <patternFill patternType="solid">
        <fgColor rgb="FF334155"/>
        <bgColor rgb="FF334155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EDE9FE"/>
        <bgColor rgb="FFEDE9FE"/>
      </patternFill>
    </fill>
    <fill>
      <patternFill patternType="solid">
        <fgColor rgb="FF2563EB"/>
        <bgColor rgb="FF2563EB"/>
      </patternFill>
    </fill>
    <fill>
      <patternFill patternType="solid">
        <fgColor rgb="FFDC2626"/>
        <bgColor rgb="FFDC2626"/>
      </patternFill>
    </fill>
    <fill>
      <patternFill patternType="solid">
        <fgColor rgb="FFFEE2E2"/>
        <bgColor rgb="FFFEE2E2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shrinkToFit="0" wrapText="1"/>
    </xf>
    <xf borderId="0" fillId="4" fontId="3" numFmtId="0" xfId="0" applyAlignment="1" applyFill="1" applyFont="1">
      <alignment horizontal="center" shrinkToFit="0" vertical="center" wrapText="1"/>
    </xf>
    <xf borderId="0" fillId="4" fontId="3" numFmtId="0" xfId="0" applyAlignment="1" applyFont="1">
      <alignment horizontal="center"/>
    </xf>
    <xf borderId="0" fillId="5" fontId="3" numFmtId="0" xfId="0" applyAlignment="1" applyFill="1" applyFont="1">
      <alignment horizontal="center"/>
    </xf>
    <xf borderId="0" fillId="6" fontId="3" numFmtId="0" xfId="0" applyAlignment="1" applyFill="1" applyFont="1">
      <alignment horizontal="center"/>
    </xf>
    <xf borderId="0" fillId="7" fontId="3" numFmtId="0" xfId="0" applyAlignment="1" applyFill="1" applyFont="1">
      <alignment horizontal="center"/>
    </xf>
    <xf borderId="0" fillId="0" fontId="4" numFmtId="0" xfId="0" applyAlignment="1" applyFont="1">
      <alignment shrinkToFit="0" vertical="top" wrapText="1"/>
    </xf>
    <xf borderId="0" fillId="8" fontId="5" numFmtId="0" xfId="0" applyAlignment="1" applyFill="1" applyFont="1">
      <alignment horizontal="center" vertical="center"/>
    </xf>
    <xf borderId="0" fillId="8" fontId="5" numFmtId="9" xfId="0" applyAlignment="1" applyFont="1" applyNumberFormat="1">
      <alignment horizontal="center" vertical="center"/>
    </xf>
    <xf borderId="0" fillId="9" fontId="3" numFmtId="0" xfId="0" applyAlignment="1" applyFill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top" wrapText="1"/>
    </xf>
    <xf borderId="0" fillId="10" fontId="3" numFmtId="0" xfId="0" applyAlignment="1" applyFill="1" applyFont="1">
      <alignment horizontal="center" shrinkToFit="0" vertical="center" wrapText="1"/>
    </xf>
    <xf borderId="0" fillId="11" fontId="6" numFmtId="0" xfId="0" applyAlignment="1" applyFill="1" applyFont="1">
      <alignment shrinkToFit="0" vertical="top" wrapText="1"/>
    </xf>
    <xf borderId="0" fillId="0" fontId="4" numFmtId="9" xfId="0" applyAlignment="1" applyFont="1" applyNumberFormat="1">
      <alignment shrinkToFit="0" vertical="top" wrapText="1"/>
    </xf>
    <xf borderId="0" fillId="12" fontId="7" numFmtId="0" xfId="0" applyAlignment="1" applyFill="1" applyFont="1">
      <alignment shrinkToFit="0" wrapText="1"/>
    </xf>
    <xf borderId="0" fillId="13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6" fontId="8" numFmtId="0" xfId="0" applyAlignment="1" applyFont="1">
      <alignment horizontal="center" shrinkToFit="0" vertical="center" wrapText="1"/>
    </xf>
    <xf borderId="0" fillId="10" fontId="8" numFmtId="0" xfId="0" applyAlignment="1" applyFont="1">
      <alignment horizontal="center" shrinkToFit="0" vertical="center" wrapText="1"/>
    </xf>
    <xf borderId="0" fillId="14" fontId="8" numFmtId="0" xfId="0" applyAlignment="1" applyFill="1" applyFont="1">
      <alignment horizontal="center" shrinkToFit="0" vertical="center" wrapText="1"/>
    </xf>
    <xf borderId="0" fillId="3" fontId="9" numFmtId="0" xfId="0" applyAlignment="1" applyFont="1">
      <alignment horizontal="center" shrinkToFit="0" vertical="center" wrapText="1"/>
    </xf>
    <xf borderId="0" fillId="14" fontId="3" numFmtId="0" xfId="0" applyAlignment="1" applyFont="1">
      <alignment horizontal="center"/>
    </xf>
    <xf borderId="0" fillId="15" fontId="10" numFmtId="0" xfId="0" applyAlignment="1" applyFill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0" fillId="0" fontId="4" numFmtId="165" xfId="0" applyAlignment="1" applyFont="1" applyNumberFormat="1">
      <alignment shrinkToFit="0" vertical="top" wrapText="1"/>
    </xf>
    <xf borderId="0" fillId="0" fontId="4" numFmtId="9" xfId="0" applyAlignment="1" applyFont="1" applyNumberFormat="1">
      <alignment shrinkToFit="0" vertical="top" wrapText="1"/>
    </xf>
    <xf borderId="0" fillId="0" fontId="4" numFmtId="166" xfId="0" applyAlignment="1" applyFont="1" applyNumberFormat="1">
      <alignment shrinkToFit="0" vertical="top" wrapText="1"/>
    </xf>
    <xf borderId="0" fillId="10" fontId="3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top" wrapText="1"/>
    </xf>
    <xf borderId="0" fillId="0" fontId="4" numFmtId="167" xfId="0" applyAlignment="1" applyFont="1" applyNumberFormat="1">
      <alignment shrinkToFit="0" vertical="top" wrapText="1"/>
    </xf>
    <xf borderId="0" fillId="9" fontId="3" numFmtId="0" xfId="0" applyAlignment="1" applyFont="1">
      <alignment horizontal="center"/>
    </xf>
    <xf borderId="0" fillId="2" fontId="3" numFmtId="0" xfId="0" applyAlignment="1" applyFont="1">
      <alignment horizontal="center" shrinkToFit="0" vertical="center" wrapText="1"/>
    </xf>
    <xf borderId="0" fillId="0" fontId="4" numFmtId="165" xfId="0" applyAlignment="1" applyFont="1" applyNumberFormat="1">
      <alignment shrinkToFit="0" vertical="top" wrapText="1"/>
    </xf>
    <xf borderId="0" fillId="13" fontId="11" numFmtId="0" xfId="0" applyFont="1"/>
    <xf borderId="0" fillId="0" fontId="11" numFmtId="0" xfId="0" applyFont="1"/>
    <xf borderId="0" fillId="6" fontId="11" numFmtId="0" xfId="0" applyFont="1"/>
    <xf borderId="0" fillId="4" fontId="11" numFmtId="0" xfId="0" applyFont="1"/>
    <xf borderId="0" fillId="5" fontId="11" numFmtId="0" xfId="0" applyFont="1"/>
    <xf borderId="0" fillId="10" fontId="11" numFmtId="0" xfId="0" applyFont="1"/>
    <xf borderId="0" fillId="14" fontId="11" numFmtId="0" xfId="0" applyFont="1"/>
    <xf borderId="0" fillId="5" fontId="3" numFmtId="0" xfId="0" applyAlignment="1" applyFont="1">
      <alignment horizontal="center" shrinkToFit="0" vertical="center" wrapText="1"/>
    </xf>
    <xf borderId="0" fillId="14" fontId="3" numFmtId="0" xfId="0" applyAlignment="1" applyFont="1">
      <alignment horizontal="center" shrinkToFit="0" vertical="center" wrapText="1"/>
    </xf>
    <xf borderId="0" fillId="11" fontId="12" numFmtId="0" xfId="0" applyAlignment="1" applyFont="1">
      <alignment shrinkToFit="0" wrapText="1"/>
    </xf>
    <xf borderId="0" fillId="5" fontId="3" numFmtId="0" xfId="0" applyAlignment="1" applyFont="1">
      <alignment horizontal="center" shrinkToFit="0" vertical="center" wrapText="1"/>
    </xf>
    <xf borderId="0" fillId="6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E8F0"/>
          <bgColor rgb="FFE2E8F0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EDE9FE"/>
          <bgColor rgb="FFEDE9FE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5B21B6"/>
      </font>
      <fill>
        <patternFill patternType="solid">
          <fgColor rgb="FFEDE9FE"/>
          <bgColor rgb="FFEDE9FE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</dxfs>
  <tableStyles count="3">
    <tableStyle count="3" pivot="0" name="Backlog-style">
      <tableStyleElement dxfId="1" type="headerRow"/>
      <tableStyleElement dxfId="2" type="firstRowStripe"/>
      <tableStyleElement dxfId="3" type="secondRowStripe"/>
    </tableStyle>
    <tableStyle count="3" pivot="0" name="Milestones-style">
      <tableStyleElement dxfId="1" type="headerRow"/>
      <tableStyleElement dxfId="2" type="firstRowStripe"/>
      <tableStyleElement dxfId="3" type="secondRowStripe"/>
    </tableStyle>
    <tableStyle count="3" pivot="0" name="QA Matrix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5" displayName="Table_1" name="Table_1" id="1">
  <tableColumns count="21">
    <tableColumn name="ID" id="1"/>
    <tableColumn name="Title" id="2"/>
    <tableColumn name="Epic" id="3"/>
    <tableColumn name="Priority" id="4"/>
    <tableColumn name="Gate" id="5"/>
    <tableColumn name="Est. h" id="6"/>
    <tableColumn name="Dependencies" id="7"/>
    <tableColumn name="Status" id="8"/>
    <tableColumn name="Owner" id="9"/>
    <tableColumn name="Planned Start h" id="10"/>
    <tableColumn name="Planned End h" id="11"/>
    <tableColumn name="Actual h" id="12"/>
    <tableColumn name="% Complete" id="13"/>
    <tableColumn name="Dependency State" id="14"/>
    <tableColumn name="Blocker" id="15"/>
    <tableColumn name="Acceptance Criteria" id="16"/>
    <tableColumn name="Implementation Note" id="17"/>
    <tableColumn name="Test Result" id="18"/>
    <tableColumn name="Changed Files" id="19"/>
    <tableColumn name="Last Update" id="20"/>
    <tableColumn name="Critical Path" id="21"/>
  </tableColumns>
  <tableStyleInfo name="Backlog-style" showColumnStripes="0" showFirstColumn="1" showLastColumn="1" showRowStripes="1"/>
</table>
</file>

<file path=xl/tables/table2.xml><?xml version="1.0" encoding="utf-8"?>
<table xmlns="http://schemas.openxmlformats.org/spreadsheetml/2006/main" ref="A1:L7" displayName="Table_2" name="Table_2" id="2">
  <tableColumns count="12">
    <tableColumn name="Gate" id="1"/>
    <tableColumn name="Name" id="2"/>
    <tableColumn name="Target Hour" id="3"/>
    <tableColumn name="Pass Condition" id="4"/>
    <tableColumn name="PM Rule" id="5"/>
    <tableColumn name="Tasks" id="6"/>
    <tableColumn name="Planned h" id="7"/>
    <tableColumn name="Done h" id="8"/>
    <tableColumn name="Progress" id="9"/>
    <tableColumn name="Gate Status" id="10"/>
    <tableColumn name="Owner" id="11"/>
    <tableColumn name="Evidence / Notes" id="12"/>
  </tableColumns>
  <tableStyleInfo name="Milestones-style" showColumnStripes="0" showFirstColumn="1" showLastColumn="1" showRowStripes="1"/>
</table>
</file>

<file path=xl/tables/table3.xml><?xml version="1.0" encoding="utf-8"?>
<table xmlns="http://schemas.openxmlformats.org/spreadsheetml/2006/main" ref="A1:K35" displayName="Table_3" name="Table_3" id="3">
  <tableColumns count="11">
    <tableColumn name="Test ID" id="1"/>
    <tableColumn name="Type" id="2"/>
    <tableColumn name="System" id="3"/>
    <tableColumn name="Scenario / Requirement" id="4"/>
    <tableColumn name="Expected Result" id="5"/>
    <tableColumn name="Gate" id="6"/>
    <tableColumn name="Device / Mode" id="7"/>
    <tableColumn name="Severity" id="8"/>
    <tableColumn name="Owner" id="9"/>
    <tableColumn name="Status" id="10"/>
    <tableColumn name="Evidence / Notes" id="11"/>
  </tableColumns>
  <tableStyleInfo name="QA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8.0"/>
    <col customWidth="1" min="3" max="3" width="15.0"/>
    <col customWidth="1" min="4" max="4" width="13.0"/>
    <col customWidth="1" min="5" max="5" width="14.0"/>
    <col customWidth="1" min="6" max="6" width="30.0"/>
    <col customWidth="1" min="7" max="7" width="13.0"/>
    <col customWidth="1" min="8" max="8" width="24.0"/>
    <col customWidth="1" min="9" max="11" width="13.0"/>
    <col customWidth="1" min="12" max="12" width="18.0"/>
    <col customWidth="1" min="13" max="26" width="8.63"/>
  </cols>
  <sheetData>
    <row r="1" ht="27.75" customHeight="1">
      <c r="A1" s="1" t="s">
        <v>0</v>
      </c>
    </row>
    <row r="2" ht="27.75" customHeight="1"/>
    <row r="3">
      <c r="A3" s="2" t="s">
        <v>1</v>
      </c>
    </row>
    <row r="5" ht="24.0" customHeight="1">
      <c r="A5" s="3" t="s">
        <v>2</v>
      </c>
      <c r="B5" s="3" t="s">
        <v>3</v>
      </c>
      <c r="D5" s="4" t="s">
        <v>4</v>
      </c>
      <c r="F5" s="5" t="s">
        <v>5</v>
      </c>
      <c r="H5" s="6" t="s">
        <v>6</v>
      </c>
      <c r="J5" s="7" t="s">
        <v>7</v>
      </c>
    </row>
    <row r="6">
      <c r="A6" s="8" t="s">
        <v>8</v>
      </c>
      <c r="B6" s="8">
        <v>0.0</v>
      </c>
      <c r="D6" s="9" t="str">
        <f>COUNTIF(Backlog!$H$2:$H$25,"Done")&amp;" / "&amp;COUNTA(Backlog!$A$2:$A$25)</f>
        <v>0 / 24</v>
      </c>
      <c r="F6" s="10">
        <f>IFERROR(COUNTIF(Backlog!$H$2:$H$25,"Done")/COUNTA(Backlog!$A$2:$A$25),0)</f>
        <v>0</v>
      </c>
      <c r="H6" s="9">
        <f>SUM(Backlog!$F$2:$F$25)</f>
        <v>45.5</v>
      </c>
      <c r="J6" s="9">
        <f>SUMIFS(Backlog!$F$2:$F$25,Backlog!$H$2:$H$25,"&lt;&gt;Done")</f>
        <v>45.5</v>
      </c>
    </row>
    <row r="7">
      <c r="A7" s="8" t="s">
        <v>9</v>
      </c>
      <c r="B7" s="8" t="str">
        <f>IF(B6&lt;8,"G1",IF(B6&lt;16,"G2",IF(B6&lt;28,"G3",IF(B6&lt;32,"G4",IF(B6&lt;38,"G5","G6")))))</f>
        <v>G1</v>
      </c>
    </row>
    <row r="8">
      <c r="A8" s="8" t="s">
        <v>10</v>
      </c>
      <c r="B8" s="8" t="str">
        <f>IF(B6&gt;=38,"ACTIVE — blocker/build/readability only","Not active")</f>
        <v>Not active</v>
      </c>
    </row>
    <row r="9">
      <c r="A9" s="8" t="s">
        <v>11</v>
      </c>
      <c r="B9" s="8" t="s">
        <v>12</v>
      </c>
    </row>
    <row r="11" ht="24.0" customHeight="1">
      <c r="A11" s="11" t="s">
        <v>13</v>
      </c>
      <c r="B11" s="11" t="s">
        <v>3</v>
      </c>
      <c r="C11" s="11" t="s">
        <v>14</v>
      </c>
      <c r="E11" s="11" t="s">
        <v>15</v>
      </c>
      <c r="F11" s="11" t="s">
        <v>16</v>
      </c>
      <c r="H11" s="11" t="s">
        <v>17</v>
      </c>
      <c r="I11" s="11" t="s">
        <v>18</v>
      </c>
      <c r="J11" s="11" t="s">
        <v>19</v>
      </c>
    </row>
    <row r="12">
      <c r="A12" s="8" t="s">
        <v>20</v>
      </c>
      <c r="B12" s="8" t="s">
        <v>21</v>
      </c>
      <c r="C12" s="8" t="s">
        <v>22</v>
      </c>
      <c r="E12" s="8" t="s">
        <v>23</v>
      </c>
      <c r="F12" s="8">
        <f>COUNTIF(Backlog!$H$2:$H$25,E12)</f>
        <v>23</v>
      </c>
      <c r="H12" s="8" t="s">
        <v>24</v>
      </c>
      <c r="I12" s="12">
        <f>SUMIF(Backlog!$C$2:$C$25,H12,Backlog!$F$2:$F$25)</f>
        <v>3</v>
      </c>
      <c r="J12" s="12">
        <f>SUMIFS(Backlog!$F$2:$F$25,Backlog!$C$2:$C$25,H12,Backlog!$H$2:$H$25,"Done")</f>
        <v>0</v>
      </c>
    </row>
    <row r="13">
      <c r="A13" s="8" t="s">
        <v>2</v>
      </c>
      <c r="B13" s="8" t="s">
        <v>25</v>
      </c>
      <c r="C13" s="8" t="s">
        <v>26</v>
      </c>
      <c r="E13" s="8" t="s">
        <v>27</v>
      </c>
      <c r="F13" s="8">
        <f>COUNTIF(Backlog!$H$2:$H$25,E13)</f>
        <v>1</v>
      </c>
      <c r="H13" s="8" t="s">
        <v>28</v>
      </c>
      <c r="I13" s="12">
        <f>SUMIF(Backlog!$C$2:$C$25,H13,Backlog!$F$2:$F$25)</f>
        <v>3.5</v>
      </c>
      <c r="J13" s="12">
        <f>SUMIFS(Backlog!$F$2:$F$25,Backlog!$C$2:$C$25,H13,Backlog!$H$2:$H$25,"Done")</f>
        <v>0</v>
      </c>
    </row>
    <row r="14">
      <c r="A14" s="8" t="s">
        <v>29</v>
      </c>
      <c r="B14" s="8" t="s">
        <v>30</v>
      </c>
      <c r="C14" s="8" t="s">
        <v>26</v>
      </c>
      <c r="E14" s="8" t="s">
        <v>31</v>
      </c>
      <c r="F14" s="8">
        <f>COUNTIF(Backlog!$H$2:$H$25,E14)</f>
        <v>0</v>
      </c>
      <c r="H14" s="8" t="s">
        <v>32</v>
      </c>
      <c r="I14" s="12">
        <f>SUMIF(Backlog!$C$2:$C$25,H14,Backlog!$F$2:$F$25)</f>
        <v>4</v>
      </c>
      <c r="J14" s="12">
        <f>SUMIFS(Backlog!$F$2:$F$25,Backlog!$C$2:$C$25,H14,Backlog!$H$2:$H$25,"Done")</f>
        <v>0</v>
      </c>
    </row>
    <row r="15">
      <c r="A15" s="8" t="s">
        <v>33</v>
      </c>
      <c r="B15" s="8" t="s">
        <v>34</v>
      </c>
      <c r="C15" s="8" t="s">
        <v>26</v>
      </c>
      <c r="E15" s="8" t="s">
        <v>35</v>
      </c>
      <c r="F15" s="8">
        <f>COUNTIF(Backlog!$H$2:$H$25,E15)</f>
        <v>0</v>
      </c>
      <c r="H15" s="8" t="s">
        <v>36</v>
      </c>
      <c r="I15" s="12">
        <f>SUMIF(Backlog!$C$2:$C$25,H15,Backlog!$F$2:$F$25)</f>
        <v>6</v>
      </c>
      <c r="J15" s="12">
        <f>SUMIFS(Backlog!$F$2:$F$25,Backlog!$C$2:$C$25,H15,Backlog!$H$2:$H$25,"Done")</f>
        <v>0</v>
      </c>
    </row>
    <row r="16">
      <c r="A16" s="8" t="s">
        <v>37</v>
      </c>
      <c r="B16" s="8" t="s">
        <v>38</v>
      </c>
      <c r="C16" s="8" t="s">
        <v>39</v>
      </c>
      <c r="E16" s="8" t="s">
        <v>40</v>
      </c>
      <c r="F16" s="8">
        <f>COUNTIF(Backlog!$H$2:$H$25,E16)</f>
        <v>0</v>
      </c>
      <c r="H16" s="8" t="s">
        <v>41</v>
      </c>
      <c r="I16" s="12">
        <f>SUMIF(Backlog!$C$2:$C$25,H16,Backlog!$F$2:$F$25)</f>
        <v>5.5</v>
      </c>
      <c r="J16" s="12">
        <f>SUMIFS(Backlog!$F$2:$F$25,Backlog!$C$2:$C$25,H16,Backlog!$H$2:$H$25,"Done")</f>
        <v>0</v>
      </c>
    </row>
    <row r="17">
      <c r="A17" s="8" t="s">
        <v>42</v>
      </c>
      <c r="B17" s="12">
        <v>45.5</v>
      </c>
      <c r="C17" s="8" t="s">
        <v>43</v>
      </c>
      <c r="H17" s="8" t="s">
        <v>44</v>
      </c>
      <c r="I17" s="12">
        <f>SUMIF(Backlog!$C$2:$C$25,H17,Backlog!$F$2:$F$25)</f>
        <v>3</v>
      </c>
      <c r="J17" s="12">
        <f>SUMIFS(Backlog!$F$2:$F$25,Backlog!$C$2:$C$25,H17,Backlog!$H$2:$H$25,"Done")</f>
        <v>0</v>
      </c>
    </row>
    <row r="18">
      <c r="A18" s="8" t="s">
        <v>45</v>
      </c>
      <c r="B18" s="12">
        <f>48-B17</f>
        <v>2.5</v>
      </c>
      <c r="C18" s="8" t="s">
        <v>46</v>
      </c>
      <c r="H18" s="8" t="s">
        <v>47</v>
      </c>
      <c r="I18" s="12">
        <f>SUMIF(Backlog!$C$2:$C$25,H18,Backlog!$F$2:$F$25)</f>
        <v>4</v>
      </c>
      <c r="J18" s="12">
        <f>SUMIFS(Backlog!$F$2:$F$25,Backlog!$C$2:$C$25,H18,Backlog!$H$2:$H$25,"Done")</f>
        <v>0</v>
      </c>
    </row>
    <row r="19">
      <c r="H19" s="8" t="s">
        <v>48</v>
      </c>
      <c r="I19" s="12">
        <f>SUMIF(Backlog!$C$2:$C$25,H19,Backlog!$F$2:$F$25)</f>
        <v>5.5</v>
      </c>
      <c r="J19" s="12">
        <f>SUMIFS(Backlog!$F$2:$F$25,Backlog!$C$2:$C$25,H19,Backlog!$H$2:$H$25,"Done")</f>
        <v>0</v>
      </c>
    </row>
    <row r="20">
      <c r="H20" s="8" t="s">
        <v>49</v>
      </c>
      <c r="I20" s="12">
        <f>SUMIF(Backlog!$C$2:$C$25,H20,Backlog!$F$2:$F$25)</f>
        <v>11</v>
      </c>
      <c r="J20" s="12">
        <f>SUMIFS(Backlog!$F$2:$F$25,Backlog!$C$2:$C$25,H20,Backlog!$H$2:$H$25,"Done")</f>
        <v>0</v>
      </c>
    </row>
    <row r="21" ht="24.0" customHeight="1">
      <c r="A21" s="13" t="s">
        <v>50</v>
      </c>
      <c r="B21" s="13" t="s">
        <v>51</v>
      </c>
      <c r="C21" s="13" t="s">
        <v>52</v>
      </c>
      <c r="D21" s="13" t="s">
        <v>53</v>
      </c>
      <c r="E21" s="13" t="s">
        <v>54</v>
      </c>
      <c r="F21" s="13" t="s">
        <v>55</v>
      </c>
      <c r="H21" s="14" t="s">
        <v>56</v>
      </c>
    </row>
    <row r="22" ht="48.0" customHeight="1">
      <c r="A22" s="8" t="s">
        <v>57</v>
      </c>
      <c r="B22" s="8" t="s">
        <v>58</v>
      </c>
      <c r="C22" s="8">
        <v>8.0</v>
      </c>
      <c r="D22" s="15">
        <f>Milestones!I2</f>
        <v>0</v>
      </c>
      <c r="E22" s="8" t="str">
        <f>Milestones!J2</f>
        <v>Not Started</v>
      </c>
      <c r="F22" s="8" t="s">
        <v>59</v>
      </c>
    </row>
    <row r="23" ht="48.0" customHeight="1">
      <c r="A23" s="8" t="s">
        <v>60</v>
      </c>
      <c r="B23" s="8" t="s">
        <v>61</v>
      </c>
      <c r="C23" s="8">
        <v>16.0</v>
      </c>
      <c r="D23" s="15">
        <f>Milestones!I3</f>
        <v>0</v>
      </c>
      <c r="E23" s="8" t="str">
        <f>Milestones!J3</f>
        <v>Not Started</v>
      </c>
      <c r="F23" s="8" t="s">
        <v>62</v>
      </c>
    </row>
    <row r="24" ht="48.0" customHeight="1">
      <c r="A24" s="8" t="s">
        <v>63</v>
      </c>
      <c r="B24" s="8" t="s">
        <v>64</v>
      </c>
      <c r="C24" s="8">
        <v>28.0</v>
      </c>
      <c r="D24" s="15">
        <f>Milestones!I4</f>
        <v>0</v>
      </c>
      <c r="E24" s="8" t="str">
        <f>Milestones!J4</f>
        <v>Not Started</v>
      </c>
      <c r="F24" s="8" t="s">
        <v>65</v>
      </c>
    </row>
    <row r="25" ht="48.0" customHeight="1">
      <c r="A25" s="8" t="s">
        <v>66</v>
      </c>
      <c r="B25" s="8" t="s">
        <v>67</v>
      </c>
      <c r="C25" s="8">
        <v>32.0</v>
      </c>
      <c r="D25" s="15">
        <f>Milestones!I5</f>
        <v>0</v>
      </c>
      <c r="E25" s="8" t="str">
        <f>Milestones!J5</f>
        <v>Not Started</v>
      </c>
      <c r="F25" s="8" t="s">
        <v>68</v>
      </c>
    </row>
    <row r="26" ht="48.0" customHeight="1">
      <c r="A26" s="8" t="s">
        <v>69</v>
      </c>
      <c r="B26" s="8" t="s">
        <v>70</v>
      </c>
      <c r="C26" s="8">
        <v>38.0</v>
      </c>
      <c r="D26" s="15">
        <f>Milestones!I6</f>
        <v>0</v>
      </c>
      <c r="E26" s="8" t="str">
        <f>Milestones!J6</f>
        <v>Not Started</v>
      </c>
      <c r="F26" s="8" t="s">
        <v>71</v>
      </c>
    </row>
    <row r="27" ht="48.0" customHeight="1">
      <c r="A27" s="8" t="s">
        <v>72</v>
      </c>
      <c r="B27" s="8" t="s">
        <v>73</v>
      </c>
      <c r="C27" s="8">
        <v>48.0</v>
      </c>
      <c r="D27" s="15">
        <f>Milestones!I7</f>
        <v>0</v>
      </c>
      <c r="E27" s="8" t="str">
        <f>Milestones!J7</f>
        <v>Not Started</v>
      </c>
      <c r="F27" s="8" t="s">
        <v>74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6:G7"/>
    <mergeCell ref="H6:I7"/>
    <mergeCell ref="H21:L27"/>
    <mergeCell ref="A1:L2"/>
    <mergeCell ref="A3:L3"/>
    <mergeCell ref="D5:E5"/>
    <mergeCell ref="F5:G5"/>
    <mergeCell ref="H5:I5"/>
    <mergeCell ref="J5:K5"/>
    <mergeCell ref="D6:E7"/>
    <mergeCell ref="J6:K7"/>
  </mergeCells>
  <dataValidations>
    <dataValidation type="decimal" allowBlank="1" sqref="B6">
      <formula1>0.0</formula1>
      <formula2>48.0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2.0"/>
    <col customWidth="1" min="3" max="3" width="19.0"/>
    <col customWidth="1" min="4" max="4" width="34.0"/>
    <col customWidth="1" min="5" max="6" width="27.0"/>
    <col customWidth="1" min="7" max="8" width="24.0"/>
    <col customWidth="1" min="9" max="9" width="30.0"/>
    <col customWidth="1" min="10" max="10" width="3.0"/>
    <col customWidth="1" min="11" max="11" width="24.0"/>
    <col customWidth="1" min="12" max="13" width="30.0"/>
    <col customWidth="1" min="14" max="14" width="14.0"/>
    <col customWidth="1" min="15" max="15" width="16.0"/>
    <col customWidth="1" min="16" max="16" width="14.0"/>
    <col customWidth="1" min="17" max="18" width="28.0"/>
    <col customWidth="1" min="19" max="26" width="8.63"/>
  </cols>
  <sheetData>
    <row r="1" ht="27.75" customHeight="1">
      <c r="A1" s="1" t="s">
        <v>75</v>
      </c>
    </row>
    <row r="2" ht="27.75" customHeight="1"/>
    <row r="3">
      <c r="A3" s="16" t="s">
        <v>76</v>
      </c>
    </row>
    <row r="5">
      <c r="A5" s="17" t="s">
        <v>77</v>
      </c>
      <c r="D5" s="18" t="s">
        <v>78</v>
      </c>
      <c r="G5" s="19" t="s">
        <v>79</v>
      </c>
      <c r="J5" s="20" t="s">
        <v>80</v>
      </c>
      <c r="M5" s="21" t="s">
        <v>81</v>
      </c>
      <c r="P5" s="22" t="s">
        <v>82</v>
      </c>
    </row>
    <row r="8">
      <c r="A8" s="23" t="s">
        <v>83</v>
      </c>
    </row>
    <row r="11" ht="24.0" customHeight="1">
      <c r="A11" s="11" t="s">
        <v>84</v>
      </c>
      <c r="B11" s="11" t="s">
        <v>85</v>
      </c>
      <c r="C11" s="11" t="s">
        <v>86</v>
      </c>
      <c r="D11" s="11" t="s">
        <v>87</v>
      </c>
      <c r="E11" s="11" t="s">
        <v>88</v>
      </c>
      <c r="F11" s="11" t="s">
        <v>89</v>
      </c>
      <c r="G11" s="11" t="s">
        <v>90</v>
      </c>
      <c r="H11" s="11" t="s">
        <v>91</v>
      </c>
      <c r="I11" s="11" t="s">
        <v>92</v>
      </c>
      <c r="K11" s="3" t="s">
        <v>93</v>
      </c>
      <c r="L11" s="3" t="s">
        <v>37</v>
      </c>
      <c r="M11" s="3" t="s">
        <v>94</v>
      </c>
      <c r="N11" s="3" t="s">
        <v>54</v>
      </c>
      <c r="O11" s="3" t="s">
        <v>95</v>
      </c>
      <c r="P11" s="3" t="s">
        <v>96</v>
      </c>
      <c r="Q11" s="3" t="s">
        <v>97</v>
      </c>
      <c r="R11" s="3" t="s">
        <v>98</v>
      </c>
    </row>
    <row r="12" ht="45.75" customHeight="1">
      <c r="A12" s="8" t="s">
        <v>99</v>
      </c>
      <c r="B12" s="8" t="s">
        <v>100</v>
      </c>
      <c r="C12" s="8" t="s">
        <v>101</v>
      </c>
      <c r="D12" s="8" t="s">
        <v>102</v>
      </c>
      <c r="E12" s="8" t="s">
        <v>103</v>
      </c>
      <c r="F12" s="8" t="s">
        <v>104</v>
      </c>
      <c r="G12" s="8" t="s">
        <v>105</v>
      </c>
      <c r="H12" s="8" t="s">
        <v>106</v>
      </c>
      <c r="I12" s="8" t="s">
        <v>107</v>
      </c>
      <c r="K12" s="8" t="s">
        <v>108</v>
      </c>
      <c r="L12" s="8" t="s">
        <v>109</v>
      </c>
      <c r="M12" s="8" t="s">
        <v>110</v>
      </c>
      <c r="N12" s="8" t="s">
        <v>111</v>
      </c>
      <c r="O12" s="8" t="s">
        <v>112</v>
      </c>
      <c r="P12" s="8" t="s">
        <v>57</v>
      </c>
      <c r="Q12" s="8" t="s">
        <v>113</v>
      </c>
      <c r="R12" s="8" t="s">
        <v>114</v>
      </c>
    </row>
    <row r="13" ht="45.75" customHeight="1">
      <c r="A13" s="8" t="s">
        <v>29</v>
      </c>
      <c r="B13" s="8" t="s">
        <v>115</v>
      </c>
      <c r="C13" s="8" t="s">
        <v>101</v>
      </c>
      <c r="D13" s="8" t="s">
        <v>116</v>
      </c>
      <c r="E13" s="8" t="s">
        <v>117</v>
      </c>
      <c r="F13" s="8" t="s">
        <v>118</v>
      </c>
      <c r="G13" s="8" t="s">
        <v>119</v>
      </c>
      <c r="H13" s="8" t="s">
        <v>120</v>
      </c>
      <c r="I13" s="8" t="s">
        <v>121</v>
      </c>
      <c r="K13" s="8" t="s">
        <v>122</v>
      </c>
      <c r="L13" s="8" t="s">
        <v>123</v>
      </c>
      <c r="M13" s="8" t="s">
        <v>124</v>
      </c>
      <c r="N13" s="8" t="s">
        <v>111</v>
      </c>
      <c r="O13" s="8" t="s">
        <v>112</v>
      </c>
      <c r="P13" s="8" t="s">
        <v>60</v>
      </c>
      <c r="Q13" s="8" t="s">
        <v>125</v>
      </c>
      <c r="R13" s="8" t="s">
        <v>126</v>
      </c>
    </row>
    <row r="14" ht="45.75" customHeight="1">
      <c r="A14" s="8" t="s">
        <v>29</v>
      </c>
      <c r="B14" s="8" t="s">
        <v>117</v>
      </c>
      <c r="C14" s="8" t="s">
        <v>127</v>
      </c>
      <c r="D14" s="8" t="s">
        <v>128</v>
      </c>
      <c r="E14" s="8" t="s">
        <v>129</v>
      </c>
      <c r="F14" s="8" t="s">
        <v>130</v>
      </c>
      <c r="G14" s="8" t="s">
        <v>131</v>
      </c>
      <c r="H14" s="8" t="s">
        <v>132</v>
      </c>
      <c r="I14" s="8" t="s">
        <v>133</v>
      </c>
      <c r="K14" s="8" t="s">
        <v>134</v>
      </c>
      <c r="L14" s="8" t="s">
        <v>135</v>
      </c>
      <c r="M14" s="8" t="s">
        <v>136</v>
      </c>
      <c r="N14" s="8" t="s">
        <v>111</v>
      </c>
      <c r="O14" s="8" t="s">
        <v>112</v>
      </c>
      <c r="P14" s="8" t="s">
        <v>57</v>
      </c>
      <c r="Q14" s="8" t="s">
        <v>137</v>
      </c>
      <c r="R14" s="8" t="s">
        <v>138</v>
      </c>
    </row>
    <row r="15" ht="45.75" customHeight="1">
      <c r="A15" s="8" t="s">
        <v>139</v>
      </c>
      <c r="B15" s="8" t="s">
        <v>140</v>
      </c>
      <c r="C15" s="8" t="s">
        <v>101</v>
      </c>
      <c r="D15" s="8" t="s">
        <v>141</v>
      </c>
      <c r="E15" s="8" t="s">
        <v>142</v>
      </c>
      <c r="F15" s="8" t="s">
        <v>143</v>
      </c>
      <c r="G15" s="8" t="s">
        <v>144</v>
      </c>
      <c r="H15" s="8" t="s">
        <v>145</v>
      </c>
      <c r="I15" s="8" t="s">
        <v>146</v>
      </c>
      <c r="K15" s="8" t="s">
        <v>147</v>
      </c>
      <c r="L15" s="8" t="s">
        <v>148</v>
      </c>
      <c r="M15" s="8" t="s">
        <v>149</v>
      </c>
      <c r="N15" s="8" t="s">
        <v>111</v>
      </c>
      <c r="O15" s="8" t="s">
        <v>112</v>
      </c>
      <c r="P15" s="8" t="s">
        <v>57</v>
      </c>
      <c r="Q15" s="8" t="s">
        <v>150</v>
      </c>
      <c r="R15" s="8" t="s">
        <v>151</v>
      </c>
    </row>
    <row r="16" ht="45.75" customHeight="1">
      <c r="A16" s="8" t="s">
        <v>152</v>
      </c>
      <c r="B16" s="8" t="s">
        <v>144</v>
      </c>
      <c r="C16" s="8" t="s">
        <v>101</v>
      </c>
      <c r="D16" s="8" t="s">
        <v>153</v>
      </c>
      <c r="E16" s="8" t="s">
        <v>154</v>
      </c>
      <c r="F16" s="8" t="s">
        <v>155</v>
      </c>
      <c r="G16" s="8" t="s">
        <v>156</v>
      </c>
      <c r="H16" s="8" t="s">
        <v>157</v>
      </c>
      <c r="I16" s="8" t="s">
        <v>158</v>
      </c>
      <c r="K16" s="8" t="s">
        <v>159</v>
      </c>
      <c r="L16" s="8" t="s">
        <v>160</v>
      </c>
      <c r="M16" s="8" t="s">
        <v>161</v>
      </c>
      <c r="N16" s="8" t="s">
        <v>111</v>
      </c>
      <c r="O16" s="8" t="s">
        <v>162</v>
      </c>
      <c r="P16" s="8" t="s">
        <v>57</v>
      </c>
      <c r="Q16" s="8" t="s">
        <v>163</v>
      </c>
      <c r="R16" s="8" t="s">
        <v>164</v>
      </c>
    </row>
    <row r="17" ht="45.75" customHeight="1">
      <c r="A17" s="8" t="s">
        <v>152</v>
      </c>
      <c r="B17" s="8" t="s">
        <v>165</v>
      </c>
      <c r="C17" s="8" t="s">
        <v>101</v>
      </c>
      <c r="D17" s="8" t="s">
        <v>166</v>
      </c>
      <c r="E17" s="8" t="s">
        <v>167</v>
      </c>
      <c r="F17" s="8" t="s">
        <v>168</v>
      </c>
      <c r="G17" s="8" t="s">
        <v>169</v>
      </c>
      <c r="H17" s="8" t="s">
        <v>170</v>
      </c>
      <c r="I17" s="8" t="s">
        <v>171</v>
      </c>
      <c r="K17" s="8" t="s">
        <v>172</v>
      </c>
      <c r="L17" s="8" t="s">
        <v>173</v>
      </c>
      <c r="M17" s="8" t="s">
        <v>174</v>
      </c>
      <c r="N17" s="8" t="s">
        <v>111</v>
      </c>
      <c r="O17" s="8" t="s">
        <v>112</v>
      </c>
      <c r="P17" s="8" t="s">
        <v>60</v>
      </c>
      <c r="Q17" s="8" t="s">
        <v>175</v>
      </c>
      <c r="R17" s="8" t="s">
        <v>176</v>
      </c>
    </row>
    <row r="18" ht="45.75" customHeight="1">
      <c r="A18" s="8" t="s">
        <v>177</v>
      </c>
      <c r="B18" s="8" t="s">
        <v>178</v>
      </c>
      <c r="C18" s="8" t="s">
        <v>179</v>
      </c>
      <c r="D18" s="8" t="s">
        <v>180</v>
      </c>
      <c r="E18" s="8" t="s">
        <v>181</v>
      </c>
      <c r="F18" s="8" t="s">
        <v>182</v>
      </c>
      <c r="G18" s="8" t="s">
        <v>165</v>
      </c>
      <c r="H18" s="8" t="s">
        <v>183</v>
      </c>
      <c r="I18" s="8" t="s">
        <v>184</v>
      </c>
      <c r="K18" s="8" t="s">
        <v>185</v>
      </c>
      <c r="L18" s="8" t="s">
        <v>186</v>
      </c>
      <c r="M18" s="8" t="s">
        <v>187</v>
      </c>
      <c r="N18" s="8" t="s">
        <v>111</v>
      </c>
      <c r="O18" s="8" t="s">
        <v>162</v>
      </c>
      <c r="P18" s="8" t="s">
        <v>60</v>
      </c>
      <c r="Q18" s="8" t="s">
        <v>188</v>
      </c>
      <c r="R18" s="8" t="s">
        <v>189</v>
      </c>
    </row>
    <row r="19" ht="45.75" customHeight="1">
      <c r="A19" s="8" t="s">
        <v>177</v>
      </c>
      <c r="B19" s="8" t="s">
        <v>190</v>
      </c>
      <c r="C19" s="8" t="s">
        <v>191</v>
      </c>
      <c r="D19" s="8" t="s">
        <v>192</v>
      </c>
      <c r="E19" s="8" t="s">
        <v>193</v>
      </c>
      <c r="F19" s="8" t="s">
        <v>194</v>
      </c>
      <c r="G19" s="8" t="s">
        <v>195</v>
      </c>
      <c r="H19" s="8" t="s">
        <v>196</v>
      </c>
      <c r="I19" s="8" t="s">
        <v>197</v>
      </c>
      <c r="K19" s="8" t="s">
        <v>198</v>
      </c>
      <c r="L19" s="8" t="s">
        <v>199</v>
      </c>
      <c r="M19" s="8" t="s">
        <v>200</v>
      </c>
      <c r="N19" s="8" t="s">
        <v>111</v>
      </c>
      <c r="O19" s="8" t="s">
        <v>112</v>
      </c>
      <c r="P19" s="8" t="s">
        <v>63</v>
      </c>
      <c r="Q19" s="8" t="s">
        <v>201</v>
      </c>
      <c r="R19" s="8" t="s">
        <v>202</v>
      </c>
    </row>
    <row r="20" ht="45.75" customHeight="1">
      <c r="A20" s="8" t="s">
        <v>177</v>
      </c>
      <c r="B20" s="8" t="s">
        <v>203</v>
      </c>
      <c r="C20" s="8" t="s">
        <v>191</v>
      </c>
      <c r="D20" s="8" t="s">
        <v>204</v>
      </c>
      <c r="E20" s="8" t="s">
        <v>205</v>
      </c>
      <c r="F20" s="8" t="s">
        <v>206</v>
      </c>
      <c r="G20" s="8" t="s">
        <v>195</v>
      </c>
      <c r="H20" s="8" t="s">
        <v>207</v>
      </c>
      <c r="I20" s="8" t="s">
        <v>208</v>
      </c>
      <c r="K20" s="8" t="s">
        <v>209</v>
      </c>
      <c r="L20" s="8" t="s">
        <v>210</v>
      </c>
      <c r="M20" s="8" t="s">
        <v>211</v>
      </c>
      <c r="N20" s="8" t="s">
        <v>111</v>
      </c>
      <c r="O20" s="8" t="s">
        <v>112</v>
      </c>
      <c r="P20" s="8" t="s">
        <v>66</v>
      </c>
      <c r="Q20" s="8" t="s">
        <v>212</v>
      </c>
      <c r="R20" s="8" t="s">
        <v>213</v>
      </c>
    </row>
    <row r="21" ht="42.0" customHeight="1">
      <c r="A21" s="8" t="s">
        <v>214</v>
      </c>
      <c r="B21" s="8" t="s">
        <v>215</v>
      </c>
      <c r="C21" s="8" t="s">
        <v>216</v>
      </c>
      <c r="D21" s="8" t="s">
        <v>217</v>
      </c>
      <c r="E21" s="8" t="s">
        <v>218</v>
      </c>
      <c r="F21" s="8" t="s">
        <v>219</v>
      </c>
      <c r="G21" s="8" t="s">
        <v>220</v>
      </c>
      <c r="H21" s="8" t="s">
        <v>221</v>
      </c>
      <c r="I21" s="8" t="s">
        <v>222</v>
      </c>
    </row>
    <row r="22" ht="42.0" customHeight="1">
      <c r="A22" s="8" t="s">
        <v>223</v>
      </c>
      <c r="B22" s="8" t="s">
        <v>220</v>
      </c>
      <c r="C22" s="8" t="s">
        <v>101</v>
      </c>
      <c r="D22" s="8" t="s">
        <v>224</v>
      </c>
      <c r="E22" s="8" t="s">
        <v>225</v>
      </c>
      <c r="F22" s="8" t="s">
        <v>226</v>
      </c>
      <c r="G22" s="8" t="s">
        <v>227</v>
      </c>
      <c r="H22" s="8" t="s">
        <v>228</v>
      </c>
      <c r="I22" s="8" t="s">
        <v>229</v>
      </c>
    </row>
    <row r="23" ht="42.0" customHeight="1">
      <c r="A23" s="8" t="s">
        <v>37</v>
      </c>
      <c r="B23" s="8" t="s">
        <v>230</v>
      </c>
      <c r="C23" s="8" t="s">
        <v>216</v>
      </c>
      <c r="D23" s="8" t="s">
        <v>231</v>
      </c>
      <c r="E23" s="8" t="s">
        <v>232</v>
      </c>
      <c r="F23" s="8" t="s">
        <v>233</v>
      </c>
      <c r="G23" s="8" t="s">
        <v>234</v>
      </c>
      <c r="H23" s="8" t="s">
        <v>221</v>
      </c>
      <c r="I23" s="8" t="s">
        <v>235</v>
      </c>
    </row>
    <row r="24" ht="42.0" customHeight="1">
      <c r="A24" s="8" t="s">
        <v>37</v>
      </c>
      <c r="B24" s="8" t="s">
        <v>236</v>
      </c>
      <c r="C24" s="8" t="s">
        <v>101</v>
      </c>
      <c r="D24" s="8" t="s">
        <v>237</v>
      </c>
      <c r="E24" s="8" t="s">
        <v>238</v>
      </c>
      <c r="F24" s="8" t="s">
        <v>239</v>
      </c>
      <c r="G24" s="8" t="s">
        <v>240</v>
      </c>
      <c r="H24" s="8" t="s">
        <v>241</v>
      </c>
      <c r="I24" s="8" t="s">
        <v>242</v>
      </c>
    </row>
    <row r="25" ht="42.0" customHeight="1">
      <c r="A25" s="8" t="s">
        <v>37</v>
      </c>
      <c r="B25" s="8" t="s">
        <v>243</v>
      </c>
      <c r="C25" s="8" t="s">
        <v>244</v>
      </c>
      <c r="D25" s="8" t="s">
        <v>245</v>
      </c>
      <c r="E25" s="8" t="s">
        <v>246</v>
      </c>
      <c r="F25" s="8" t="s">
        <v>247</v>
      </c>
      <c r="G25" s="8" t="s">
        <v>248</v>
      </c>
      <c r="H25" s="8" t="s">
        <v>249</v>
      </c>
      <c r="I25" s="8" t="s">
        <v>250</v>
      </c>
    </row>
    <row r="26" ht="42.0" customHeight="1">
      <c r="A26" s="8" t="s">
        <v>37</v>
      </c>
      <c r="B26" s="8" t="s">
        <v>251</v>
      </c>
      <c r="C26" s="8" t="s">
        <v>252</v>
      </c>
      <c r="D26" s="8" t="s">
        <v>253</v>
      </c>
      <c r="E26" s="8" t="s">
        <v>254</v>
      </c>
      <c r="F26" s="8" t="s">
        <v>255</v>
      </c>
      <c r="G26" s="8" t="s">
        <v>256</v>
      </c>
      <c r="H26" s="8" t="s">
        <v>257</v>
      </c>
      <c r="I26" s="8" t="s">
        <v>258</v>
      </c>
    </row>
    <row r="27" ht="42.0" customHeight="1">
      <c r="A27" s="8" t="s">
        <v>259</v>
      </c>
      <c r="B27" s="8" t="s">
        <v>260</v>
      </c>
      <c r="C27" s="8" t="s">
        <v>261</v>
      </c>
      <c r="D27" s="8" t="s">
        <v>262</v>
      </c>
      <c r="E27" s="8" t="s">
        <v>263</v>
      </c>
      <c r="F27" s="8" t="s">
        <v>264</v>
      </c>
      <c r="G27" s="8" t="s">
        <v>265</v>
      </c>
      <c r="H27" s="8" t="s">
        <v>266</v>
      </c>
      <c r="I27" s="8" t="s">
        <v>267</v>
      </c>
    </row>
    <row r="28" ht="42.0" customHeight="1">
      <c r="A28" s="8" t="s">
        <v>268</v>
      </c>
      <c r="B28" s="8" t="s">
        <v>269</v>
      </c>
      <c r="C28" s="8" t="s">
        <v>270</v>
      </c>
      <c r="D28" s="8" t="s">
        <v>271</v>
      </c>
      <c r="E28" s="8" t="s">
        <v>272</v>
      </c>
      <c r="F28" s="8" t="s">
        <v>273</v>
      </c>
      <c r="G28" s="8" t="s">
        <v>274</v>
      </c>
      <c r="H28" s="8" t="s">
        <v>275</v>
      </c>
      <c r="I28" s="8" t="s">
        <v>276</v>
      </c>
    </row>
    <row r="29" ht="42.0" customHeight="1">
      <c r="A29" s="8" t="s">
        <v>277</v>
      </c>
      <c r="B29" s="8" t="s">
        <v>278</v>
      </c>
      <c r="C29" s="8" t="s">
        <v>101</v>
      </c>
      <c r="D29" s="8" t="s">
        <v>279</v>
      </c>
      <c r="E29" s="8" t="s">
        <v>280</v>
      </c>
      <c r="F29" s="8" t="s">
        <v>281</v>
      </c>
      <c r="G29" s="8" t="s">
        <v>282</v>
      </c>
      <c r="H29" s="8" t="s">
        <v>283</v>
      </c>
      <c r="I29" s="8" t="s">
        <v>284</v>
      </c>
    </row>
    <row r="30" ht="42.0" customHeight="1">
      <c r="A30" s="8" t="s">
        <v>277</v>
      </c>
      <c r="B30" s="8" t="s">
        <v>285</v>
      </c>
      <c r="C30" s="8" t="s">
        <v>286</v>
      </c>
      <c r="D30" s="8" t="s">
        <v>287</v>
      </c>
      <c r="E30" s="8" t="s">
        <v>288</v>
      </c>
      <c r="F30" s="8" t="s">
        <v>289</v>
      </c>
      <c r="G30" s="8" t="s">
        <v>290</v>
      </c>
      <c r="H30" s="8" t="s">
        <v>291</v>
      </c>
      <c r="I30" s="8" t="s">
        <v>292</v>
      </c>
    </row>
    <row r="31" ht="42.0" customHeight="1">
      <c r="A31" s="8" t="s">
        <v>293</v>
      </c>
      <c r="B31" s="8" t="s">
        <v>294</v>
      </c>
      <c r="C31" s="8" t="s">
        <v>101</v>
      </c>
      <c r="D31" s="8" t="s">
        <v>295</v>
      </c>
      <c r="E31" s="8" t="s">
        <v>296</v>
      </c>
      <c r="F31" s="8" t="s">
        <v>297</v>
      </c>
      <c r="G31" s="8" t="s">
        <v>298</v>
      </c>
      <c r="H31" s="8" t="s">
        <v>299</v>
      </c>
      <c r="I31" s="8" t="s">
        <v>300</v>
      </c>
    </row>
    <row r="32" ht="42.0" customHeight="1">
      <c r="A32" s="8" t="s">
        <v>301</v>
      </c>
      <c r="B32" s="8" t="s">
        <v>302</v>
      </c>
      <c r="C32" s="8" t="s">
        <v>303</v>
      </c>
      <c r="D32" s="8" t="s">
        <v>304</v>
      </c>
      <c r="E32" s="8" t="s">
        <v>305</v>
      </c>
      <c r="F32" s="8" t="s">
        <v>306</v>
      </c>
      <c r="G32" s="8" t="s">
        <v>307</v>
      </c>
      <c r="H32" s="8" t="s">
        <v>221</v>
      </c>
      <c r="I32" s="8" t="s">
        <v>308</v>
      </c>
    </row>
    <row r="33" ht="15.75" customHeight="1"/>
    <row r="34" ht="15.75" customHeight="1"/>
    <row r="35" ht="15.75" customHeight="1"/>
    <row r="36" ht="15.75" customHeight="1">
      <c r="K36" s="24" t="s">
        <v>309</v>
      </c>
    </row>
    <row r="37" ht="15.75" customHeight="1">
      <c r="K37" s="25" t="s">
        <v>310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P5:R7"/>
    <mergeCell ref="A8:R9"/>
    <mergeCell ref="K36:R36"/>
    <mergeCell ref="K37:R40"/>
    <mergeCell ref="A1:R2"/>
    <mergeCell ref="A3:R3"/>
    <mergeCell ref="A5:C7"/>
    <mergeCell ref="D5:F7"/>
    <mergeCell ref="G5:I7"/>
    <mergeCell ref="J5:L7"/>
    <mergeCell ref="M5:O7"/>
  </mergeCells>
  <dataValidations>
    <dataValidation type="list" allowBlank="1" sqref="N12:N20">
      <formula1>"Proposed,Accepted,Locked,Rejected"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8.0"/>
    <col customWidth="1" min="3" max="3" width="21.0"/>
    <col customWidth="1" min="4" max="4" width="10.0"/>
    <col customWidth="1" min="5" max="6" width="8.0"/>
    <col customWidth="1" min="7" max="7" width="20.0"/>
    <col customWidth="1" min="8" max="8" width="14.0"/>
    <col customWidth="1" min="9" max="9" width="18.0"/>
    <col customWidth="1" min="10" max="11" width="12.0"/>
    <col customWidth="1" min="12" max="12" width="10.0"/>
    <col customWidth="1" min="13" max="13" width="11.0"/>
    <col customWidth="1" min="14" max="14" width="18.0"/>
    <col customWidth="1" min="15" max="15" width="24.0"/>
    <col customWidth="1" min="16" max="16" width="55.0"/>
    <col customWidth="1" min="17" max="17" width="28.0"/>
    <col customWidth="1" min="18" max="18" width="12.0"/>
    <col customWidth="1" min="19" max="19" width="30.0"/>
    <col customWidth="1" min="20" max="20" width="18.0"/>
    <col customWidth="1" min="21" max="21" width="12.0"/>
    <col customWidth="1" min="22" max="26" width="8.63"/>
  </cols>
  <sheetData>
    <row r="1" ht="24.0" customHeight="1">
      <c r="A1" s="26" t="s">
        <v>311</v>
      </c>
      <c r="B1" s="26" t="s">
        <v>312</v>
      </c>
      <c r="C1" s="26" t="s">
        <v>17</v>
      </c>
      <c r="D1" s="26" t="s">
        <v>313</v>
      </c>
      <c r="E1" s="26" t="s">
        <v>50</v>
      </c>
      <c r="F1" s="26" t="s">
        <v>314</v>
      </c>
      <c r="G1" s="26" t="s">
        <v>315</v>
      </c>
      <c r="H1" s="26" t="s">
        <v>54</v>
      </c>
      <c r="I1" s="26" t="s">
        <v>95</v>
      </c>
      <c r="J1" s="26" t="s">
        <v>316</v>
      </c>
      <c r="K1" s="26" t="s">
        <v>317</v>
      </c>
      <c r="L1" s="26" t="s">
        <v>318</v>
      </c>
      <c r="M1" s="26" t="s">
        <v>319</v>
      </c>
      <c r="N1" s="26" t="s">
        <v>320</v>
      </c>
      <c r="O1" s="26" t="s">
        <v>321</v>
      </c>
      <c r="P1" s="26" t="s">
        <v>322</v>
      </c>
      <c r="Q1" s="26" t="s">
        <v>323</v>
      </c>
      <c r="R1" s="26" t="s">
        <v>324</v>
      </c>
      <c r="S1" s="26" t="s">
        <v>325</v>
      </c>
      <c r="T1" s="26" t="s">
        <v>326</v>
      </c>
      <c r="U1" s="26" t="s">
        <v>327</v>
      </c>
    </row>
    <row r="2" ht="42.0" customHeight="1">
      <c r="A2" s="27" t="s">
        <v>328</v>
      </c>
      <c r="B2" s="27" t="s">
        <v>329</v>
      </c>
      <c r="C2" s="27" t="s">
        <v>24</v>
      </c>
      <c r="D2" s="27" t="s">
        <v>330</v>
      </c>
      <c r="E2" s="27" t="s">
        <v>57</v>
      </c>
      <c r="F2" s="27">
        <v>1.0</v>
      </c>
      <c r="G2" s="27" t="s">
        <v>331</v>
      </c>
      <c r="H2" s="27" t="s">
        <v>27</v>
      </c>
      <c r="I2" s="27" t="s">
        <v>112</v>
      </c>
      <c r="J2" s="28">
        <v>0.0</v>
      </c>
      <c r="K2" s="28">
        <v>1.0</v>
      </c>
      <c r="L2" s="28"/>
      <c r="M2" s="29">
        <f t="shared" ref="M2:M25" si="1">IF(H2="Done",1,IF(H2="Review/Test",0.85,IF(H2="In Progress",0.5,0)))</f>
        <v>0</v>
      </c>
      <c r="N2" s="27" t="str">
        <f>"Ready"</f>
        <v>Ready</v>
      </c>
      <c r="O2" s="27"/>
      <c r="P2" s="27" t="s">
        <v>332</v>
      </c>
      <c r="Q2" s="27" t="s">
        <v>333</v>
      </c>
      <c r="R2" s="27" t="s">
        <v>334</v>
      </c>
      <c r="S2" s="27"/>
      <c r="T2" s="30"/>
      <c r="U2" s="27" t="s">
        <v>335</v>
      </c>
    </row>
    <row r="3" ht="42.0" customHeight="1">
      <c r="A3" s="27" t="s">
        <v>336</v>
      </c>
      <c r="B3" s="27" t="s">
        <v>337</v>
      </c>
      <c r="C3" s="27" t="s">
        <v>24</v>
      </c>
      <c r="D3" s="27" t="s">
        <v>330</v>
      </c>
      <c r="E3" s="27" t="s">
        <v>57</v>
      </c>
      <c r="F3" s="27">
        <v>2.0</v>
      </c>
      <c r="G3" s="27" t="s">
        <v>328</v>
      </c>
      <c r="H3" s="27" t="s">
        <v>23</v>
      </c>
      <c r="I3" s="27" t="s">
        <v>112</v>
      </c>
      <c r="J3" s="28">
        <v>1.0</v>
      </c>
      <c r="K3" s="28">
        <v>3.0</v>
      </c>
      <c r="L3" s="28"/>
      <c r="M3" s="29">
        <f t="shared" si="1"/>
        <v>0</v>
      </c>
      <c r="N3" s="27" t="str">
        <f t="array" ref="N3">IF(AND(INDEX($H$2:$H$25,MATCH("LL-001",$A$2:$A$25,0))="Done"),"Ready","Waiting on tasks")</f>
        <v>Waiting on tasks</v>
      </c>
      <c r="O3" s="27"/>
      <c r="P3" s="27" t="s">
        <v>338</v>
      </c>
      <c r="Q3" s="27" t="s">
        <v>339</v>
      </c>
      <c r="R3" s="27" t="s">
        <v>334</v>
      </c>
      <c r="S3" s="27"/>
      <c r="T3" s="30"/>
      <c r="U3" s="27" t="s">
        <v>335</v>
      </c>
    </row>
    <row r="4" ht="42.0" customHeight="1">
      <c r="A4" s="27" t="s">
        <v>340</v>
      </c>
      <c r="B4" s="27" t="s">
        <v>341</v>
      </c>
      <c r="C4" s="27" t="s">
        <v>28</v>
      </c>
      <c r="D4" s="27" t="s">
        <v>330</v>
      </c>
      <c r="E4" s="27" t="s">
        <v>57</v>
      </c>
      <c r="F4" s="27">
        <v>2.0</v>
      </c>
      <c r="G4" s="27" t="s">
        <v>336</v>
      </c>
      <c r="H4" s="27" t="s">
        <v>23</v>
      </c>
      <c r="I4" s="27" t="s">
        <v>112</v>
      </c>
      <c r="J4" s="28">
        <v>3.0</v>
      </c>
      <c r="K4" s="28">
        <v>5.0</v>
      </c>
      <c r="L4" s="28"/>
      <c r="M4" s="29">
        <f t="shared" si="1"/>
        <v>0</v>
      </c>
      <c r="N4" s="27" t="str">
        <f t="array" ref="N4">IF(AND(INDEX($H$2:$H$25,MATCH("LL-002",$A$2:$A$25,0))="Done"),"Ready","Waiting on tasks")</f>
        <v>Waiting on tasks</v>
      </c>
      <c r="O4" s="27"/>
      <c r="P4" s="27" t="s">
        <v>342</v>
      </c>
      <c r="Q4" s="27" t="s">
        <v>343</v>
      </c>
      <c r="R4" s="27" t="s">
        <v>334</v>
      </c>
      <c r="S4" s="27"/>
      <c r="T4" s="30"/>
      <c r="U4" s="27" t="s">
        <v>335</v>
      </c>
    </row>
    <row r="5" ht="42.0" customHeight="1">
      <c r="A5" s="27" t="s">
        <v>344</v>
      </c>
      <c r="B5" s="27" t="s">
        <v>345</v>
      </c>
      <c r="C5" s="27" t="s">
        <v>28</v>
      </c>
      <c r="D5" s="27" t="s">
        <v>330</v>
      </c>
      <c r="E5" s="27" t="s">
        <v>57</v>
      </c>
      <c r="F5" s="27">
        <v>1.5</v>
      </c>
      <c r="G5" s="27" t="s">
        <v>340</v>
      </c>
      <c r="H5" s="27" t="s">
        <v>23</v>
      </c>
      <c r="I5" s="27" t="s">
        <v>112</v>
      </c>
      <c r="J5" s="28">
        <v>5.0</v>
      </c>
      <c r="K5" s="28">
        <v>6.5</v>
      </c>
      <c r="L5" s="28"/>
      <c r="M5" s="29">
        <f t="shared" si="1"/>
        <v>0</v>
      </c>
      <c r="N5" s="27" t="str">
        <f t="shared" ref="N5:N6" si="2">IF(AND(INDEX($H$2:$H$25,MATCH("LL-003",$A$2:$A$25,0))="Done"),"Ready","Waiting on tasks")</f>
        <v>Waiting on tasks</v>
      </c>
      <c r="O5" s="27"/>
      <c r="P5" s="27" t="s">
        <v>346</v>
      </c>
      <c r="Q5" s="27" t="s">
        <v>347</v>
      </c>
      <c r="R5" s="27" t="s">
        <v>334</v>
      </c>
      <c r="S5" s="27"/>
      <c r="T5" s="30"/>
      <c r="U5" s="27" t="s">
        <v>335</v>
      </c>
    </row>
    <row r="6" ht="42.0" customHeight="1">
      <c r="A6" s="27" t="s">
        <v>348</v>
      </c>
      <c r="B6" s="27" t="s">
        <v>349</v>
      </c>
      <c r="C6" s="27" t="s">
        <v>32</v>
      </c>
      <c r="D6" s="27" t="s">
        <v>330</v>
      </c>
      <c r="E6" s="27" t="s">
        <v>57</v>
      </c>
      <c r="F6" s="27">
        <v>1.5</v>
      </c>
      <c r="G6" s="27" t="s">
        <v>340</v>
      </c>
      <c r="H6" s="27" t="s">
        <v>23</v>
      </c>
      <c r="I6" s="27" t="s">
        <v>162</v>
      </c>
      <c r="J6" s="28">
        <v>5.0</v>
      </c>
      <c r="K6" s="28">
        <v>6.5</v>
      </c>
      <c r="L6" s="28"/>
      <c r="M6" s="29">
        <f t="shared" si="1"/>
        <v>0</v>
      </c>
      <c r="N6" s="27" t="str">
        <f t="shared" si="2"/>
        <v>Waiting on tasks</v>
      </c>
      <c r="O6" s="27"/>
      <c r="P6" s="27" t="s">
        <v>350</v>
      </c>
      <c r="Q6" s="27" t="s">
        <v>333</v>
      </c>
      <c r="R6" s="27" t="s">
        <v>334</v>
      </c>
      <c r="S6" s="27"/>
      <c r="T6" s="30"/>
      <c r="U6" s="27" t="s">
        <v>335</v>
      </c>
    </row>
    <row r="7" ht="42.0" customHeight="1">
      <c r="A7" s="27" t="s">
        <v>351</v>
      </c>
      <c r="B7" s="27" t="s">
        <v>352</v>
      </c>
      <c r="C7" s="27" t="s">
        <v>32</v>
      </c>
      <c r="D7" s="27" t="s">
        <v>330</v>
      </c>
      <c r="E7" s="27" t="s">
        <v>57</v>
      </c>
      <c r="F7" s="27">
        <v>1.0</v>
      </c>
      <c r="G7" s="27" t="s">
        <v>348</v>
      </c>
      <c r="H7" s="27" t="s">
        <v>23</v>
      </c>
      <c r="I7" s="27" t="s">
        <v>112</v>
      </c>
      <c r="J7" s="28">
        <v>6.5</v>
      </c>
      <c r="K7" s="28">
        <v>7.5</v>
      </c>
      <c r="L7" s="28"/>
      <c r="M7" s="29">
        <f t="shared" si="1"/>
        <v>0</v>
      </c>
      <c r="N7" s="27" t="str">
        <f t="shared" ref="N7:N8" si="3">IF(AND(INDEX($H$2:$H$25,MATCH("LL-005",$A$2:$A$25,0))="Done"),"Ready","Waiting on tasks")</f>
        <v>Waiting on tasks</v>
      </c>
      <c r="O7" s="27"/>
      <c r="P7" s="27" t="s">
        <v>353</v>
      </c>
      <c r="Q7" s="27" t="s">
        <v>354</v>
      </c>
      <c r="R7" s="27" t="s">
        <v>334</v>
      </c>
      <c r="S7" s="27"/>
      <c r="T7" s="30"/>
      <c r="U7" s="27" t="s">
        <v>335</v>
      </c>
    </row>
    <row r="8" ht="42.0" customHeight="1">
      <c r="A8" s="27" t="s">
        <v>355</v>
      </c>
      <c r="B8" s="27" t="s">
        <v>356</v>
      </c>
      <c r="C8" s="27" t="s">
        <v>32</v>
      </c>
      <c r="D8" s="27" t="s">
        <v>330</v>
      </c>
      <c r="E8" s="27" t="s">
        <v>57</v>
      </c>
      <c r="F8" s="27">
        <v>1.5</v>
      </c>
      <c r="G8" s="27" t="s">
        <v>348</v>
      </c>
      <c r="H8" s="27" t="s">
        <v>23</v>
      </c>
      <c r="I8" s="27" t="s">
        <v>162</v>
      </c>
      <c r="J8" s="28">
        <v>6.5</v>
      </c>
      <c r="K8" s="28">
        <v>8.0</v>
      </c>
      <c r="L8" s="28"/>
      <c r="M8" s="29">
        <f t="shared" si="1"/>
        <v>0</v>
      </c>
      <c r="N8" s="27" t="str">
        <f t="shared" si="3"/>
        <v>Waiting on tasks</v>
      </c>
      <c r="O8" s="27"/>
      <c r="P8" s="27" t="s">
        <v>357</v>
      </c>
      <c r="Q8" s="27" t="s">
        <v>358</v>
      </c>
      <c r="R8" s="27" t="s">
        <v>334</v>
      </c>
      <c r="S8" s="27"/>
      <c r="T8" s="30"/>
      <c r="U8" s="27" t="s">
        <v>359</v>
      </c>
    </row>
    <row r="9" ht="42.0" customHeight="1">
      <c r="A9" s="27" t="s">
        <v>360</v>
      </c>
      <c r="B9" s="27" t="s">
        <v>361</v>
      </c>
      <c r="C9" s="27" t="s">
        <v>36</v>
      </c>
      <c r="D9" s="27" t="s">
        <v>330</v>
      </c>
      <c r="E9" s="27" t="s">
        <v>60</v>
      </c>
      <c r="F9" s="27">
        <v>2.0</v>
      </c>
      <c r="G9" s="27" t="s">
        <v>362</v>
      </c>
      <c r="H9" s="27" t="s">
        <v>23</v>
      </c>
      <c r="I9" s="27" t="s">
        <v>112</v>
      </c>
      <c r="J9" s="28">
        <v>8.0</v>
      </c>
      <c r="K9" s="28">
        <v>10.0</v>
      </c>
      <c r="L9" s="28"/>
      <c r="M9" s="29">
        <f t="shared" si="1"/>
        <v>0</v>
      </c>
      <c r="N9" s="27" t="str">
        <f t="array" ref="N9">IF(AND(INDEX($H$2:$H$25,MATCH("LL-004",$A$2:$A$25,0))="Done",INDEX($H$2:$H$25,MATCH("LL-006",$A$2:$A$25,0))="Done"),"Ready","Waiting on tasks")</f>
        <v>Waiting on tasks</v>
      </c>
      <c r="O9" s="27"/>
      <c r="P9" s="27" t="s">
        <v>363</v>
      </c>
      <c r="Q9" s="27" t="s">
        <v>333</v>
      </c>
      <c r="R9" s="27" t="s">
        <v>334</v>
      </c>
      <c r="S9" s="27"/>
      <c r="T9" s="30"/>
      <c r="U9" s="27" t="s">
        <v>335</v>
      </c>
    </row>
    <row r="10" ht="42.0" customHeight="1">
      <c r="A10" s="27" t="s">
        <v>364</v>
      </c>
      <c r="B10" s="27" t="s">
        <v>365</v>
      </c>
      <c r="C10" s="27" t="s">
        <v>41</v>
      </c>
      <c r="D10" s="27" t="s">
        <v>330</v>
      </c>
      <c r="E10" s="27" t="s">
        <v>60</v>
      </c>
      <c r="F10" s="27">
        <v>1.0</v>
      </c>
      <c r="G10" s="27" t="s">
        <v>360</v>
      </c>
      <c r="H10" s="27" t="s">
        <v>23</v>
      </c>
      <c r="I10" s="27" t="s">
        <v>162</v>
      </c>
      <c r="J10" s="28">
        <v>10.0</v>
      </c>
      <c r="K10" s="28">
        <v>11.0</v>
      </c>
      <c r="L10" s="28"/>
      <c r="M10" s="29">
        <f t="shared" si="1"/>
        <v>0</v>
      </c>
      <c r="N10" s="27" t="str">
        <f t="array" ref="N10">IF(AND(INDEX($H$2:$H$25,MATCH("LL-008",$A$2:$A$25,0))="Done"),"Ready","Waiting on tasks")</f>
        <v>Waiting on tasks</v>
      </c>
      <c r="O10" s="27"/>
      <c r="P10" s="27" t="s">
        <v>366</v>
      </c>
      <c r="Q10" s="27" t="s">
        <v>367</v>
      </c>
      <c r="R10" s="27" t="s">
        <v>334</v>
      </c>
      <c r="S10" s="27"/>
      <c r="T10" s="30"/>
      <c r="U10" s="27" t="s">
        <v>335</v>
      </c>
    </row>
    <row r="11" ht="42.0" customHeight="1">
      <c r="A11" s="27" t="s">
        <v>39</v>
      </c>
      <c r="B11" s="27" t="s">
        <v>368</v>
      </c>
      <c r="C11" s="27" t="s">
        <v>41</v>
      </c>
      <c r="D11" s="27" t="s">
        <v>330</v>
      </c>
      <c r="E11" s="27" t="s">
        <v>60</v>
      </c>
      <c r="F11" s="27">
        <v>2.0</v>
      </c>
      <c r="G11" s="27" t="s">
        <v>369</v>
      </c>
      <c r="H11" s="27" t="s">
        <v>23</v>
      </c>
      <c r="I11" s="27" t="s">
        <v>112</v>
      </c>
      <c r="J11" s="28">
        <v>11.0</v>
      </c>
      <c r="K11" s="28">
        <v>13.0</v>
      </c>
      <c r="L11" s="28"/>
      <c r="M11" s="29">
        <f t="shared" si="1"/>
        <v>0</v>
      </c>
      <c r="N11" s="27" t="str">
        <f t="array" ref="N11">IF(AND(INDEX($H$2:$H$25,MATCH("LL-008",$A$2:$A$25,0))="Done",INDEX($H$2:$H$25,MATCH("LL-009",$A$2:$A$25,0))="Done"),"Ready","Waiting on tasks")</f>
        <v>Waiting on tasks</v>
      </c>
      <c r="O11" s="27"/>
      <c r="P11" s="27" t="s">
        <v>370</v>
      </c>
      <c r="Q11" s="27" t="s">
        <v>371</v>
      </c>
      <c r="R11" s="27" t="s">
        <v>334</v>
      </c>
      <c r="S11" s="27"/>
      <c r="T11" s="30"/>
      <c r="U11" s="27" t="s">
        <v>335</v>
      </c>
    </row>
    <row r="12" ht="42.0" customHeight="1">
      <c r="A12" s="27" t="s">
        <v>372</v>
      </c>
      <c r="B12" s="27" t="s">
        <v>373</v>
      </c>
      <c r="C12" s="27" t="s">
        <v>41</v>
      </c>
      <c r="D12" s="27" t="s">
        <v>330</v>
      </c>
      <c r="E12" s="27" t="s">
        <v>60</v>
      </c>
      <c r="F12" s="27">
        <v>2.5</v>
      </c>
      <c r="G12" s="27" t="s">
        <v>374</v>
      </c>
      <c r="H12" s="27" t="s">
        <v>23</v>
      </c>
      <c r="I12" s="27" t="s">
        <v>162</v>
      </c>
      <c r="J12" s="28">
        <v>13.0</v>
      </c>
      <c r="K12" s="28">
        <v>15.5</v>
      </c>
      <c r="L12" s="28"/>
      <c r="M12" s="29">
        <f t="shared" si="1"/>
        <v>0</v>
      </c>
      <c r="N12" s="27" t="str">
        <f t="array" ref="N12">IF(AND(INDEX($H$2:$H$25,MATCH("LL-009",$A$2:$A$25,0))="Done",INDEX($H$2:$H$25,MATCH("LL-010",$A$2:$A$25,0))="Done"),"Ready","Waiting on tasks")</f>
        <v>Waiting on tasks</v>
      </c>
      <c r="O12" s="27"/>
      <c r="P12" s="27" t="s">
        <v>375</v>
      </c>
      <c r="Q12" s="27" t="s">
        <v>376</v>
      </c>
      <c r="R12" s="27" t="s">
        <v>334</v>
      </c>
      <c r="S12" s="27"/>
      <c r="T12" s="30"/>
      <c r="U12" s="27" t="s">
        <v>335</v>
      </c>
    </row>
    <row r="13" ht="42.0" customHeight="1">
      <c r="A13" s="27" t="s">
        <v>377</v>
      </c>
      <c r="B13" s="27" t="s">
        <v>378</v>
      </c>
      <c r="C13" s="27" t="s">
        <v>44</v>
      </c>
      <c r="D13" s="27" t="s">
        <v>330</v>
      </c>
      <c r="E13" s="27" t="s">
        <v>60</v>
      </c>
      <c r="F13" s="27">
        <v>1.0</v>
      </c>
      <c r="G13" s="27" t="s">
        <v>372</v>
      </c>
      <c r="H13" s="27" t="s">
        <v>23</v>
      </c>
      <c r="I13" s="27" t="s">
        <v>112</v>
      </c>
      <c r="J13" s="28">
        <v>15.0</v>
      </c>
      <c r="K13" s="28">
        <v>16.0</v>
      </c>
      <c r="L13" s="28"/>
      <c r="M13" s="29">
        <f t="shared" si="1"/>
        <v>0</v>
      </c>
      <c r="N13" s="27" t="str">
        <f t="array" ref="N13">IF(AND(INDEX($H$2:$H$25,MATCH("LL-011",$A$2:$A$25,0))="Done"),"Ready","Waiting on tasks")</f>
        <v>Waiting on tasks</v>
      </c>
      <c r="O13" s="27"/>
      <c r="P13" s="27" t="s">
        <v>379</v>
      </c>
      <c r="Q13" s="27" t="s">
        <v>380</v>
      </c>
      <c r="R13" s="27" t="s">
        <v>334</v>
      </c>
      <c r="S13" s="27"/>
      <c r="T13" s="30"/>
      <c r="U13" s="27" t="s">
        <v>335</v>
      </c>
    </row>
    <row r="14" ht="42.0" customHeight="1">
      <c r="A14" s="27" t="s">
        <v>381</v>
      </c>
      <c r="B14" s="27" t="s">
        <v>382</v>
      </c>
      <c r="C14" s="27" t="s">
        <v>44</v>
      </c>
      <c r="D14" s="27" t="s">
        <v>330</v>
      </c>
      <c r="E14" s="27" t="s">
        <v>63</v>
      </c>
      <c r="F14" s="27">
        <v>2.0</v>
      </c>
      <c r="G14" s="27" t="s">
        <v>377</v>
      </c>
      <c r="H14" s="27" t="s">
        <v>23</v>
      </c>
      <c r="I14" s="27" t="s">
        <v>112</v>
      </c>
      <c r="J14" s="28">
        <v>16.0</v>
      </c>
      <c r="K14" s="28">
        <v>18.0</v>
      </c>
      <c r="L14" s="28"/>
      <c r="M14" s="29">
        <f t="shared" si="1"/>
        <v>0</v>
      </c>
      <c r="N14" s="27" t="str">
        <f t="array" ref="N14">IF(AND(INDEX($H$2:$H$25,MATCH("LL-012",$A$2:$A$25,0))="Done"),"Ready","Waiting on tasks")</f>
        <v>Waiting on tasks</v>
      </c>
      <c r="O14" s="27"/>
      <c r="P14" s="27" t="s">
        <v>383</v>
      </c>
      <c r="Q14" s="27" t="s">
        <v>384</v>
      </c>
      <c r="R14" s="27" t="s">
        <v>334</v>
      </c>
      <c r="S14" s="27"/>
      <c r="T14" s="30"/>
      <c r="U14" s="27" t="s">
        <v>335</v>
      </c>
    </row>
    <row r="15" ht="42.0" customHeight="1">
      <c r="A15" s="27" t="s">
        <v>385</v>
      </c>
      <c r="B15" s="27" t="s">
        <v>386</v>
      </c>
      <c r="C15" s="27" t="s">
        <v>36</v>
      </c>
      <c r="D15" s="27" t="s">
        <v>330</v>
      </c>
      <c r="E15" s="27" t="s">
        <v>63</v>
      </c>
      <c r="F15" s="27">
        <v>4.0</v>
      </c>
      <c r="G15" s="27" t="s">
        <v>387</v>
      </c>
      <c r="H15" s="27" t="s">
        <v>23</v>
      </c>
      <c r="I15" s="27" t="s">
        <v>162</v>
      </c>
      <c r="J15" s="28">
        <v>16.0</v>
      </c>
      <c r="K15" s="28">
        <v>20.0</v>
      </c>
      <c r="L15" s="28"/>
      <c r="M15" s="29">
        <f t="shared" si="1"/>
        <v>0</v>
      </c>
      <c r="N15" s="27" t="str">
        <f t="array" ref="N15">IF(AND(INDEX($H$2:$H$25,MATCH("LL-007",$A$2:$A$25,0))="Done",INDEX($H$2:$H$25,MATCH("LL-008",$A$2:$A$25,0))="Done",INDEX($H$2:$H$25,MATCH("LL-011",$A$2:$A$25,0))="Done"),"Ready","Waiting on tasks")</f>
        <v>Waiting on tasks</v>
      </c>
      <c r="O15" s="27"/>
      <c r="P15" s="27" t="s">
        <v>388</v>
      </c>
      <c r="Q15" s="27" t="s">
        <v>389</v>
      </c>
      <c r="R15" s="27" t="s">
        <v>334</v>
      </c>
      <c r="S15" s="27"/>
      <c r="T15" s="30"/>
      <c r="U15" s="27" t="s">
        <v>335</v>
      </c>
    </row>
    <row r="16" ht="42.0" customHeight="1">
      <c r="A16" s="27" t="s">
        <v>390</v>
      </c>
      <c r="B16" s="27" t="s">
        <v>391</v>
      </c>
      <c r="C16" s="27" t="s">
        <v>47</v>
      </c>
      <c r="D16" s="27" t="s">
        <v>330</v>
      </c>
      <c r="E16" s="27" t="s">
        <v>63</v>
      </c>
      <c r="F16" s="27">
        <v>1.0</v>
      </c>
      <c r="G16" s="27" t="s">
        <v>336</v>
      </c>
      <c r="H16" s="27" t="s">
        <v>23</v>
      </c>
      <c r="I16" s="27" t="s">
        <v>112</v>
      </c>
      <c r="J16" s="28">
        <v>18.0</v>
      </c>
      <c r="K16" s="28">
        <v>19.0</v>
      </c>
      <c r="L16" s="28"/>
      <c r="M16" s="29">
        <f t="shared" si="1"/>
        <v>0</v>
      </c>
      <c r="N16" s="27" t="str">
        <f t="array" ref="N16">IF(AND(INDEX($H$2:$H$25,MATCH("LL-002",$A$2:$A$25,0))="Done"),"Ready","Waiting on tasks")</f>
        <v>Waiting on tasks</v>
      </c>
      <c r="O16" s="27"/>
      <c r="P16" s="27" t="s">
        <v>392</v>
      </c>
      <c r="Q16" s="27" t="s">
        <v>393</v>
      </c>
      <c r="R16" s="27" t="s">
        <v>334</v>
      </c>
      <c r="S16" s="27"/>
      <c r="T16" s="30"/>
      <c r="U16" s="27" t="s">
        <v>335</v>
      </c>
    </row>
    <row r="17" ht="42.0" customHeight="1">
      <c r="A17" s="27" t="s">
        <v>394</v>
      </c>
      <c r="B17" s="27" t="s">
        <v>395</v>
      </c>
      <c r="C17" s="27" t="s">
        <v>47</v>
      </c>
      <c r="D17" s="27" t="s">
        <v>330</v>
      </c>
      <c r="E17" s="27" t="s">
        <v>63</v>
      </c>
      <c r="F17" s="27">
        <v>1.5</v>
      </c>
      <c r="G17" s="27" t="s">
        <v>396</v>
      </c>
      <c r="H17" s="27" t="s">
        <v>23</v>
      </c>
      <c r="I17" s="27" t="s">
        <v>112</v>
      </c>
      <c r="J17" s="28">
        <v>19.0</v>
      </c>
      <c r="K17" s="28">
        <v>20.5</v>
      </c>
      <c r="L17" s="28"/>
      <c r="M17" s="29">
        <f t="shared" si="1"/>
        <v>0</v>
      </c>
      <c r="N17" s="27" t="str">
        <f t="array" ref="N17">IF(AND(INDEX($H$2:$H$25,MATCH("LL-003",$A$2:$A$25,0))="Done",INDEX($H$2:$H$25,MATCH("LL-012",$A$2:$A$25,0))="Done"),"Ready","Waiting on tasks")</f>
        <v>Waiting on tasks</v>
      </c>
      <c r="O17" s="27"/>
      <c r="P17" s="27" t="s">
        <v>397</v>
      </c>
      <c r="Q17" s="27" t="s">
        <v>398</v>
      </c>
      <c r="R17" s="27" t="s">
        <v>334</v>
      </c>
      <c r="S17" s="27"/>
      <c r="T17" s="30"/>
      <c r="U17" s="27" t="s">
        <v>335</v>
      </c>
    </row>
    <row r="18" ht="42.0" customHeight="1">
      <c r="A18" s="27" t="s">
        <v>399</v>
      </c>
      <c r="B18" s="27" t="s">
        <v>400</v>
      </c>
      <c r="C18" s="27" t="s">
        <v>47</v>
      </c>
      <c r="D18" s="27" t="s">
        <v>330</v>
      </c>
      <c r="E18" s="27" t="s">
        <v>63</v>
      </c>
      <c r="F18" s="27">
        <v>1.5</v>
      </c>
      <c r="G18" s="27" t="s">
        <v>374</v>
      </c>
      <c r="H18" s="27" t="s">
        <v>23</v>
      </c>
      <c r="I18" s="27" t="s">
        <v>162</v>
      </c>
      <c r="J18" s="28">
        <v>20.0</v>
      </c>
      <c r="K18" s="28">
        <v>21.5</v>
      </c>
      <c r="L18" s="28"/>
      <c r="M18" s="29">
        <f t="shared" si="1"/>
        <v>0</v>
      </c>
      <c r="N18" s="27" t="str">
        <f t="array" ref="N18">IF(AND(INDEX($H$2:$H$25,MATCH("LL-009",$A$2:$A$25,0))="Done",INDEX($H$2:$H$25,MATCH("LL-010",$A$2:$A$25,0))="Done"),"Ready","Waiting on tasks")</f>
        <v>Waiting on tasks</v>
      </c>
      <c r="O18" s="27"/>
      <c r="P18" s="27" t="s">
        <v>401</v>
      </c>
      <c r="Q18" s="27" t="s">
        <v>402</v>
      </c>
      <c r="R18" s="27" t="s">
        <v>334</v>
      </c>
      <c r="S18" s="27"/>
      <c r="T18" s="30"/>
      <c r="U18" s="27" t="s">
        <v>335</v>
      </c>
    </row>
    <row r="19" ht="42.0" customHeight="1">
      <c r="A19" s="27" t="s">
        <v>403</v>
      </c>
      <c r="B19" s="27" t="s">
        <v>404</v>
      </c>
      <c r="C19" s="27" t="s">
        <v>49</v>
      </c>
      <c r="D19" s="27" t="s">
        <v>330</v>
      </c>
      <c r="E19" s="27" t="s">
        <v>66</v>
      </c>
      <c r="F19" s="27">
        <v>1.0</v>
      </c>
      <c r="G19" s="27" t="s">
        <v>405</v>
      </c>
      <c r="H19" s="27" t="s">
        <v>23</v>
      </c>
      <c r="I19" s="27" t="s">
        <v>406</v>
      </c>
      <c r="J19" s="28">
        <v>28.0</v>
      </c>
      <c r="K19" s="28">
        <v>29.0</v>
      </c>
      <c r="L19" s="28"/>
      <c r="M19" s="29">
        <f t="shared" si="1"/>
        <v>0</v>
      </c>
      <c r="N19" s="27" t="str">
        <f t="array" ref="N19">IF(AND(INDEX($H$2:$H$25,MATCH("LL-002",$A$2:$A$25,0))="Done",INDEX($H$2:$H$25,MATCH("LL-004",$A$2:$A$25,0))="Done"),"Ready","Waiting on tasks")</f>
        <v>Waiting on tasks</v>
      </c>
      <c r="O19" s="27"/>
      <c r="P19" s="27" t="s">
        <v>407</v>
      </c>
      <c r="Q19" s="27" t="s">
        <v>408</v>
      </c>
      <c r="R19" s="27" t="s">
        <v>334</v>
      </c>
      <c r="S19" s="27"/>
      <c r="T19" s="30"/>
      <c r="U19" s="27" t="s">
        <v>335</v>
      </c>
    </row>
    <row r="20" ht="42.0" customHeight="1">
      <c r="A20" s="27" t="s">
        <v>409</v>
      </c>
      <c r="B20" s="27" t="s">
        <v>410</v>
      </c>
      <c r="C20" s="27" t="s">
        <v>49</v>
      </c>
      <c r="D20" s="27" t="s">
        <v>330</v>
      </c>
      <c r="E20" s="27" t="s">
        <v>69</v>
      </c>
      <c r="F20" s="27">
        <v>1.5</v>
      </c>
      <c r="G20" s="27" t="s">
        <v>411</v>
      </c>
      <c r="H20" s="27" t="s">
        <v>23</v>
      </c>
      <c r="I20" s="27" t="s">
        <v>412</v>
      </c>
      <c r="J20" s="28">
        <v>29.0</v>
      </c>
      <c r="K20" s="28">
        <v>30.5</v>
      </c>
      <c r="L20" s="28"/>
      <c r="M20" s="29">
        <f t="shared" si="1"/>
        <v>0</v>
      </c>
      <c r="N20" s="27" t="str">
        <f t="array" ref="N20">IF(AND(INDEX($H$2:$H$25,MATCH("LL-011",$A$2:$A$25,0))="Done",INDEX($H$2:$H$25,MATCH("LL-014",$A$2:$A$25,0))="Done"),"Ready","Waiting on tasks")</f>
        <v>Waiting on tasks</v>
      </c>
      <c r="O20" s="27"/>
      <c r="P20" s="27" t="s">
        <v>413</v>
      </c>
      <c r="Q20" s="27" t="s">
        <v>414</v>
      </c>
      <c r="R20" s="27" t="s">
        <v>334</v>
      </c>
      <c r="S20" s="27"/>
      <c r="T20" s="30"/>
      <c r="U20" s="27" t="s">
        <v>335</v>
      </c>
    </row>
    <row r="21" ht="42.0" customHeight="1">
      <c r="A21" s="27" t="s">
        <v>415</v>
      </c>
      <c r="B21" s="27" t="s">
        <v>416</v>
      </c>
      <c r="C21" s="27" t="s">
        <v>48</v>
      </c>
      <c r="D21" s="27" t="s">
        <v>417</v>
      </c>
      <c r="E21" s="27" t="s">
        <v>69</v>
      </c>
      <c r="F21" s="27">
        <v>4.0</v>
      </c>
      <c r="G21" s="27" t="s">
        <v>418</v>
      </c>
      <c r="H21" s="27" t="s">
        <v>23</v>
      </c>
      <c r="I21" s="27" t="s">
        <v>419</v>
      </c>
      <c r="J21" s="28">
        <v>28.0</v>
      </c>
      <c r="K21" s="28">
        <v>32.0</v>
      </c>
      <c r="L21" s="28"/>
      <c r="M21" s="29">
        <f t="shared" si="1"/>
        <v>0</v>
      </c>
      <c r="N21" s="27" t="str">
        <f t="array" ref="N21">IF(INDEX(Milestones!$J$2:$J$7,MATCH("G3",Milestones!$A$2:$A$7,0))="Passed","Ready","Waiting on gate")</f>
        <v>Waiting on gate</v>
      </c>
      <c r="O21" s="27"/>
      <c r="P21" s="27" t="s">
        <v>420</v>
      </c>
      <c r="Q21" s="27" t="s">
        <v>421</v>
      </c>
      <c r="R21" s="27" t="s">
        <v>334</v>
      </c>
      <c r="S21" s="27"/>
      <c r="T21" s="30"/>
      <c r="U21" s="27" t="s">
        <v>359</v>
      </c>
    </row>
    <row r="22" ht="42.0" customHeight="1">
      <c r="A22" s="27" t="s">
        <v>422</v>
      </c>
      <c r="B22" s="27" t="s">
        <v>423</v>
      </c>
      <c r="C22" s="27" t="s">
        <v>48</v>
      </c>
      <c r="D22" s="27" t="s">
        <v>417</v>
      </c>
      <c r="E22" s="27" t="s">
        <v>69</v>
      </c>
      <c r="F22" s="27">
        <v>1.5</v>
      </c>
      <c r="G22" s="27" t="s">
        <v>418</v>
      </c>
      <c r="H22" s="27" t="s">
        <v>23</v>
      </c>
      <c r="I22" s="27" t="s">
        <v>424</v>
      </c>
      <c r="J22" s="28">
        <v>32.0</v>
      </c>
      <c r="K22" s="28">
        <v>33.5</v>
      </c>
      <c r="L22" s="28"/>
      <c r="M22" s="29">
        <f t="shared" si="1"/>
        <v>0</v>
      </c>
      <c r="N22" s="27" t="str">
        <f t="array" ref="N22">IF(INDEX(Milestones!$J$2:$J$7,MATCH("G3",Milestones!$A$2:$A$7,0))="Passed","Ready","Waiting on gate")</f>
        <v>Waiting on gate</v>
      </c>
      <c r="O22" s="27"/>
      <c r="P22" s="27" t="s">
        <v>425</v>
      </c>
      <c r="Q22" s="27" t="s">
        <v>426</v>
      </c>
      <c r="R22" s="27" t="s">
        <v>334</v>
      </c>
      <c r="S22" s="27"/>
      <c r="T22" s="30"/>
      <c r="U22" s="27" t="s">
        <v>359</v>
      </c>
    </row>
    <row r="23" ht="42.0" customHeight="1">
      <c r="A23" s="27" t="s">
        <v>427</v>
      </c>
      <c r="B23" s="27" t="s">
        <v>428</v>
      </c>
      <c r="C23" s="27" t="s">
        <v>49</v>
      </c>
      <c r="D23" s="27" t="s">
        <v>330</v>
      </c>
      <c r="E23" s="27" t="s">
        <v>69</v>
      </c>
      <c r="F23" s="27">
        <v>1.5</v>
      </c>
      <c r="G23" s="27" t="s">
        <v>418</v>
      </c>
      <c r="H23" s="27" t="s">
        <v>23</v>
      </c>
      <c r="I23" s="27" t="s">
        <v>429</v>
      </c>
      <c r="J23" s="28">
        <v>33.5</v>
      </c>
      <c r="K23" s="28">
        <v>35.0</v>
      </c>
      <c r="L23" s="28"/>
      <c r="M23" s="29">
        <f t="shared" si="1"/>
        <v>0</v>
      </c>
      <c r="N23" s="27" t="str">
        <f t="array" ref="N23">IF(INDEX(Milestones!$J$2:$J$7,MATCH("G3",Milestones!$A$2:$A$7,0))="Passed","Ready","Waiting on gate")</f>
        <v>Waiting on gate</v>
      </c>
      <c r="O23" s="27"/>
      <c r="P23" s="27" t="s">
        <v>430</v>
      </c>
      <c r="Q23" s="27" t="s">
        <v>431</v>
      </c>
      <c r="R23" s="27" t="s">
        <v>334</v>
      </c>
      <c r="S23" s="27"/>
      <c r="T23" s="30"/>
      <c r="U23" s="27" t="s">
        <v>335</v>
      </c>
    </row>
    <row r="24" ht="42.0" customHeight="1">
      <c r="A24" s="27" t="s">
        <v>432</v>
      </c>
      <c r="B24" s="27" t="s">
        <v>433</v>
      </c>
      <c r="C24" s="27" t="s">
        <v>49</v>
      </c>
      <c r="D24" s="27" t="s">
        <v>330</v>
      </c>
      <c r="E24" s="27" t="s">
        <v>72</v>
      </c>
      <c r="F24" s="27">
        <v>4.0</v>
      </c>
      <c r="G24" s="27" t="s">
        <v>434</v>
      </c>
      <c r="H24" s="27" t="s">
        <v>23</v>
      </c>
      <c r="I24" s="27" t="s">
        <v>435</v>
      </c>
      <c r="J24" s="28">
        <v>38.0</v>
      </c>
      <c r="K24" s="28">
        <v>42.0</v>
      </c>
      <c r="L24" s="28"/>
      <c r="M24" s="29">
        <f t="shared" si="1"/>
        <v>0</v>
      </c>
      <c r="N24" s="27" t="str">
        <f t="array" ref="N24">IF(INDEX(Milestones!$J$2:$J$7,MATCH("G5",Milestones!$A$2:$A$7,0))="Passed","Ready","Waiting on gate")</f>
        <v>Waiting on gate</v>
      </c>
      <c r="O24" s="27"/>
      <c r="P24" s="27" t="s">
        <v>436</v>
      </c>
      <c r="Q24" s="27" t="s">
        <v>437</v>
      </c>
      <c r="R24" s="27" t="s">
        <v>334</v>
      </c>
      <c r="S24" s="27"/>
      <c r="T24" s="30"/>
      <c r="U24" s="27" t="s">
        <v>335</v>
      </c>
    </row>
    <row r="25" ht="42.0" customHeight="1">
      <c r="A25" s="27" t="s">
        <v>438</v>
      </c>
      <c r="B25" s="27" t="s">
        <v>439</v>
      </c>
      <c r="C25" s="27" t="s">
        <v>49</v>
      </c>
      <c r="D25" s="27" t="s">
        <v>330</v>
      </c>
      <c r="E25" s="27" t="s">
        <v>72</v>
      </c>
      <c r="F25" s="27">
        <v>3.0</v>
      </c>
      <c r="G25" s="27" t="s">
        <v>432</v>
      </c>
      <c r="H25" s="27" t="s">
        <v>23</v>
      </c>
      <c r="I25" s="27" t="s">
        <v>440</v>
      </c>
      <c r="J25" s="28">
        <v>42.0</v>
      </c>
      <c r="K25" s="28">
        <v>45.0</v>
      </c>
      <c r="L25" s="28"/>
      <c r="M25" s="29">
        <f t="shared" si="1"/>
        <v>0</v>
      </c>
      <c r="N25" s="27" t="str">
        <f t="array" ref="N25">IF(AND(INDEX($H$2:$H$25,MATCH("LL-023",$A$2:$A$25,0))="Done"),"Ready","Waiting on tasks")</f>
        <v>Waiting on tasks</v>
      </c>
      <c r="O25" s="27"/>
      <c r="P25" s="27" t="s">
        <v>441</v>
      </c>
      <c r="Q25" s="27" t="s">
        <v>442</v>
      </c>
      <c r="R25" s="27" t="s">
        <v>334</v>
      </c>
      <c r="S25" s="27"/>
      <c r="T25" s="30"/>
      <c r="U25" s="27" t="s">
        <v>335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25">
    <cfRule type="expression" dxfId="4" priority="1">
      <formula>H2="Backlog"</formula>
    </cfRule>
  </conditionalFormatting>
  <conditionalFormatting sqref="H2:H25">
    <cfRule type="expression" dxfId="5" priority="2">
      <formula>H2="Ready"</formula>
    </cfRule>
  </conditionalFormatting>
  <conditionalFormatting sqref="H2:H25">
    <cfRule type="expression" dxfId="6" priority="3">
      <formula>H2="In Progress"</formula>
    </cfRule>
  </conditionalFormatting>
  <conditionalFormatting sqref="H2:H25">
    <cfRule type="expression" dxfId="7" priority="4">
      <formula>H2="Review/Test"</formula>
    </cfRule>
  </conditionalFormatting>
  <conditionalFormatting sqref="H2:H25">
    <cfRule type="expression" dxfId="8" priority="5">
      <formula>H2="Done"</formula>
    </cfRule>
  </conditionalFormatting>
  <conditionalFormatting sqref="N2:N25">
    <cfRule type="expression" dxfId="9" priority="6">
      <formula>N2="Ready"</formula>
    </cfRule>
  </conditionalFormatting>
  <conditionalFormatting sqref="N2:N25">
    <cfRule type="expression" dxfId="10" priority="7">
      <formula>LEFT(N2,7)="Waiting"</formula>
    </cfRule>
  </conditionalFormatting>
  <conditionalFormatting sqref="O2:O25">
    <cfRule type="expression" dxfId="11" priority="8">
      <formula>O2&lt;&gt;""</formula>
    </cfRule>
  </conditionalFormatting>
  <conditionalFormatting sqref="U2:U25">
    <cfRule type="expression" dxfId="12" priority="9">
      <formula>U2="Yes"</formula>
    </cfRule>
  </conditionalFormatting>
  <dataValidations>
    <dataValidation type="list" allowBlank="1" sqref="D2:D25">
      <formula1>"Must,Should,Could,Won't"</formula1>
    </dataValidation>
    <dataValidation type="list" allowBlank="1" sqref="H2:H25">
      <formula1>"Backlog,Ready,In Progress,Review/Test,Done"</formula1>
    </dataValidation>
    <dataValidation type="list" allowBlank="1" sqref="R2:R25">
      <formula1>"Not Run,Pass,Fail,Blocked"</formula1>
    </dataValidation>
    <dataValidation type="list" allowBlank="1" sqref="U2:U25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2.0"/>
    <col customWidth="1" min="3" max="3" width="12.0"/>
    <col customWidth="1" min="4" max="4" width="48.0"/>
    <col customWidth="1" min="5" max="5" width="42.0"/>
    <col customWidth="1" min="6" max="6" width="18.0"/>
    <col customWidth="1" min="7" max="8" width="10.0"/>
    <col customWidth="1" min="9" max="9" width="11.0"/>
    <col customWidth="1" min="10" max="10" width="14.0"/>
    <col customWidth="1" min="11" max="11" width="16.0"/>
    <col customWidth="1" min="12" max="12" width="35.0"/>
    <col customWidth="1" min="13" max="26" width="8.63"/>
  </cols>
  <sheetData>
    <row r="1" ht="24.0" customHeight="1">
      <c r="A1" s="31" t="s">
        <v>50</v>
      </c>
      <c r="B1" s="31" t="s">
        <v>51</v>
      </c>
      <c r="C1" s="31" t="s">
        <v>443</v>
      </c>
      <c r="D1" s="31" t="s">
        <v>444</v>
      </c>
      <c r="E1" s="31" t="s">
        <v>55</v>
      </c>
      <c r="F1" s="31" t="s">
        <v>445</v>
      </c>
      <c r="G1" s="31" t="s">
        <v>18</v>
      </c>
      <c r="H1" s="31" t="s">
        <v>19</v>
      </c>
      <c r="I1" s="31" t="s">
        <v>53</v>
      </c>
      <c r="J1" s="31" t="s">
        <v>446</v>
      </c>
      <c r="K1" s="31" t="s">
        <v>95</v>
      </c>
      <c r="L1" s="31" t="s">
        <v>447</v>
      </c>
    </row>
    <row r="2" ht="54.0" customHeight="1">
      <c r="A2" s="27" t="s">
        <v>57</v>
      </c>
      <c r="B2" s="27" t="s">
        <v>58</v>
      </c>
      <c r="C2" s="27">
        <v>8.0</v>
      </c>
      <c r="D2" s="27" t="s">
        <v>448</v>
      </c>
      <c r="E2" s="27" t="s">
        <v>59</v>
      </c>
      <c r="F2" s="27" t="s">
        <v>449</v>
      </c>
      <c r="G2" s="32">
        <f>SUMIF(Backlog!$E$2:$E$25,A2,Backlog!$F$2:$F$25)</f>
        <v>10.5</v>
      </c>
      <c r="H2" s="32">
        <f>SUMIFS(Backlog!$F$2:$F$25,Backlog!$E$2:$E$25,A2,Backlog!$H$2:$H$25,"Done")</f>
        <v>0</v>
      </c>
      <c r="I2" s="29">
        <f t="shared" ref="I2:I7" si="1">IFERROR(H2/G2,0)</f>
        <v>0</v>
      </c>
      <c r="J2" s="27" t="str">
        <f>IF(I2=1,"Passed",IF(Dashboard!$B$6&gt;C2,"At Risk",IF(I2&gt;0,"In Progress","Not Started")))</f>
        <v>Not Started</v>
      </c>
      <c r="K2" s="27" t="s">
        <v>450</v>
      </c>
      <c r="L2" s="27"/>
    </row>
    <row r="3" ht="54.0" customHeight="1">
      <c r="A3" s="27" t="s">
        <v>60</v>
      </c>
      <c r="B3" s="27" t="s">
        <v>61</v>
      </c>
      <c r="C3" s="27">
        <v>16.0</v>
      </c>
      <c r="D3" s="27" t="s">
        <v>451</v>
      </c>
      <c r="E3" s="27" t="s">
        <v>62</v>
      </c>
      <c r="F3" s="27" t="s">
        <v>452</v>
      </c>
      <c r="G3" s="32">
        <f>SUMIF(Backlog!$E$2:$E$25,A3,Backlog!$F$2:$F$25)</f>
        <v>8.5</v>
      </c>
      <c r="H3" s="32">
        <f>SUMIFS(Backlog!$F$2:$F$25,Backlog!$E$2:$E$25,A3,Backlog!$H$2:$H$25,"Done")</f>
        <v>0</v>
      </c>
      <c r="I3" s="29">
        <f t="shared" si="1"/>
        <v>0</v>
      </c>
      <c r="J3" s="27" t="str">
        <f>IF(I3=1,"Passed",IF(Dashboard!$B$6&gt;C3,"At Risk",IF(I3&gt;0,"In Progress","Not Started")))</f>
        <v>Not Started</v>
      </c>
      <c r="K3" s="27" t="s">
        <v>450</v>
      </c>
      <c r="L3" s="27"/>
    </row>
    <row r="4" ht="54.0" customHeight="1">
      <c r="A4" s="27" t="s">
        <v>63</v>
      </c>
      <c r="B4" s="27" t="s">
        <v>64</v>
      </c>
      <c r="C4" s="27">
        <v>28.0</v>
      </c>
      <c r="D4" s="27" t="s">
        <v>453</v>
      </c>
      <c r="E4" s="27" t="s">
        <v>65</v>
      </c>
      <c r="F4" s="27" t="s">
        <v>454</v>
      </c>
      <c r="G4" s="32">
        <f>SUMIF(Backlog!$E$2:$E$25,A4,Backlog!$F$2:$F$25)</f>
        <v>10</v>
      </c>
      <c r="H4" s="32">
        <f>SUMIFS(Backlog!$F$2:$F$25,Backlog!$E$2:$E$25,A4,Backlog!$H$2:$H$25,"Done")</f>
        <v>0</v>
      </c>
      <c r="I4" s="29">
        <f t="shared" si="1"/>
        <v>0</v>
      </c>
      <c r="J4" s="27" t="str">
        <f>IF(I4=1,"Passed",IF(Dashboard!$B$6&gt;C4,"At Risk",IF(I4&gt;0,"In Progress","Not Started")))</f>
        <v>Not Started</v>
      </c>
      <c r="K4" s="27" t="s">
        <v>450</v>
      </c>
      <c r="L4" s="27"/>
    </row>
    <row r="5" ht="54.0" customHeight="1">
      <c r="A5" s="27" t="s">
        <v>66</v>
      </c>
      <c r="B5" s="27" t="s">
        <v>67</v>
      </c>
      <c r="C5" s="27">
        <v>32.0</v>
      </c>
      <c r="D5" s="27" t="s">
        <v>455</v>
      </c>
      <c r="E5" s="27" t="s">
        <v>68</v>
      </c>
      <c r="F5" s="27" t="s">
        <v>403</v>
      </c>
      <c r="G5" s="32">
        <f>SUMIF(Backlog!$E$2:$E$25,A5,Backlog!$F$2:$F$25)</f>
        <v>1</v>
      </c>
      <c r="H5" s="32">
        <f>SUMIFS(Backlog!$F$2:$F$25,Backlog!$E$2:$E$25,A5,Backlog!$H$2:$H$25,"Done")</f>
        <v>0</v>
      </c>
      <c r="I5" s="29">
        <f t="shared" si="1"/>
        <v>0</v>
      </c>
      <c r="J5" s="27" t="str">
        <f>IF(I5=1,"Passed",IF(Dashboard!$B$6&gt;C5,"At Risk",IF(I5&gt;0,"In Progress","Not Started")))</f>
        <v>Not Started</v>
      </c>
      <c r="K5" s="27" t="s">
        <v>450</v>
      </c>
      <c r="L5" s="27"/>
    </row>
    <row r="6" ht="54.0" customHeight="1">
      <c r="A6" s="27" t="s">
        <v>69</v>
      </c>
      <c r="B6" s="27" t="s">
        <v>70</v>
      </c>
      <c r="C6" s="27">
        <v>38.0</v>
      </c>
      <c r="D6" s="27" t="s">
        <v>456</v>
      </c>
      <c r="E6" s="27" t="s">
        <v>71</v>
      </c>
      <c r="F6" s="27" t="s">
        <v>457</v>
      </c>
      <c r="G6" s="32">
        <f>SUMIF(Backlog!$E$2:$E$25,A6,Backlog!$F$2:$F$25)</f>
        <v>8.5</v>
      </c>
      <c r="H6" s="32">
        <f>SUMIFS(Backlog!$F$2:$F$25,Backlog!$E$2:$E$25,A6,Backlog!$H$2:$H$25,"Done")</f>
        <v>0</v>
      </c>
      <c r="I6" s="29">
        <f t="shared" si="1"/>
        <v>0</v>
      </c>
      <c r="J6" s="27" t="str">
        <f>IF(I6=1,"Passed",IF(Dashboard!$B$6&gt;C6,"At Risk",IF(I6&gt;0,"In Progress","Not Started")))</f>
        <v>Not Started</v>
      </c>
      <c r="K6" s="27" t="s">
        <v>450</v>
      </c>
      <c r="L6" s="27"/>
    </row>
    <row r="7" ht="54.0" customHeight="1">
      <c r="A7" s="27" t="s">
        <v>72</v>
      </c>
      <c r="B7" s="27" t="s">
        <v>73</v>
      </c>
      <c r="C7" s="27">
        <v>48.0</v>
      </c>
      <c r="D7" s="27" t="s">
        <v>458</v>
      </c>
      <c r="E7" s="27" t="s">
        <v>74</v>
      </c>
      <c r="F7" s="27" t="s">
        <v>459</v>
      </c>
      <c r="G7" s="32">
        <f>SUMIF(Backlog!$E$2:$E$25,A7,Backlog!$F$2:$F$25)</f>
        <v>7</v>
      </c>
      <c r="H7" s="32">
        <f>SUMIFS(Backlog!$F$2:$F$25,Backlog!$E$2:$E$25,A7,Backlog!$H$2:$H$25,"Done")</f>
        <v>0</v>
      </c>
      <c r="I7" s="29">
        <f t="shared" si="1"/>
        <v>0</v>
      </c>
      <c r="J7" s="27" t="str">
        <f>IF(I7=1,"Passed",IF(Dashboard!$B$6&gt;C7,"At Risk",IF(I7&gt;0,"In Progress","Not Started")))</f>
        <v>Not Started</v>
      </c>
      <c r="K7" s="27" t="s">
        <v>450</v>
      </c>
      <c r="L7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7">
    <cfRule type="expression" dxfId="8" priority="1">
      <formula>J2="Passed"</formula>
    </cfRule>
  </conditionalFormatting>
  <conditionalFormatting sqref="J2:J7">
    <cfRule type="expression" dxfId="13" priority="2">
      <formula>J2="At Risk"</formula>
    </cfRule>
  </conditionalFormatting>
  <conditionalFormatting sqref="J2:J7">
    <cfRule type="expression" dxfId="6" priority="3">
      <formula>J2="In Progress"</formula>
    </cfRule>
  </conditionalFormatting>
  <conditionalFormatting sqref="J2:J7">
    <cfRule type="expression" dxfId="4" priority="4">
      <formula>J2="Not Started"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42.0"/>
    <col customWidth="1" min="3" max="3" width="20.0"/>
    <col customWidth="1" min="4" max="6" width="10.0"/>
    <col customWidth="1" min="7" max="7" width="8.0"/>
    <col customWidth="1" min="8" max="32" width="4.0"/>
  </cols>
  <sheetData>
    <row r="1" ht="27.75" customHeight="1">
      <c r="A1" s="1" t="s">
        <v>460</v>
      </c>
    </row>
    <row r="2" ht="27.75" customHeight="1"/>
    <row r="4" ht="24.0" customHeight="1">
      <c r="A4" s="3" t="s">
        <v>461</v>
      </c>
      <c r="B4" s="3" t="s">
        <v>462</v>
      </c>
      <c r="C4" s="3" t="s">
        <v>463</v>
      </c>
      <c r="D4" s="3" t="s">
        <v>445</v>
      </c>
      <c r="E4" s="3" t="s">
        <v>464</v>
      </c>
      <c r="F4" s="3" t="s">
        <v>465</v>
      </c>
      <c r="G4" s="3" t="s">
        <v>50</v>
      </c>
    </row>
    <row r="5" ht="48.0" customHeight="1">
      <c r="A5" s="33">
        <v>0.0</v>
      </c>
      <c r="B5" s="33">
        <v>8.0</v>
      </c>
      <c r="C5" s="8" t="s">
        <v>58</v>
      </c>
      <c r="D5" s="8" t="s">
        <v>449</v>
      </c>
      <c r="E5" s="8" t="s">
        <v>466</v>
      </c>
      <c r="F5" s="8" t="s">
        <v>467</v>
      </c>
      <c r="G5" s="8" t="s">
        <v>57</v>
      </c>
    </row>
    <row r="6" ht="48.0" customHeight="1">
      <c r="A6" s="33">
        <v>8.0</v>
      </c>
      <c r="B6" s="33">
        <v>16.0</v>
      </c>
      <c r="C6" s="8" t="s">
        <v>468</v>
      </c>
      <c r="D6" s="8" t="s">
        <v>452</v>
      </c>
      <c r="E6" s="8" t="s">
        <v>469</v>
      </c>
      <c r="F6" s="8" t="s">
        <v>470</v>
      </c>
      <c r="G6" s="8" t="s">
        <v>60</v>
      </c>
    </row>
    <row r="7" ht="48.0" customHeight="1">
      <c r="A7" s="33">
        <v>16.0</v>
      </c>
      <c r="B7" s="33">
        <v>28.0</v>
      </c>
      <c r="C7" s="8" t="s">
        <v>471</v>
      </c>
      <c r="D7" s="8" t="s">
        <v>454</v>
      </c>
      <c r="E7" s="8" t="s">
        <v>472</v>
      </c>
      <c r="F7" s="8" t="s">
        <v>473</v>
      </c>
      <c r="G7" s="8" t="s">
        <v>63</v>
      </c>
    </row>
    <row r="8" ht="48.0" customHeight="1">
      <c r="A8" s="33">
        <v>28.0</v>
      </c>
      <c r="B8" s="33">
        <v>38.0</v>
      </c>
      <c r="C8" s="8" t="s">
        <v>474</v>
      </c>
      <c r="D8" s="8" t="s">
        <v>475</v>
      </c>
      <c r="E8" s="8" t="s">
        <v>476</v>
      </c>
      <c r="F8" s="8" t="s">
        <v>477</v>
      </c>
      <c r="G8" s="8" t="s">
        <v>478</v>
      </c>
    </row>
    <row r="9" ht="48.0" customHeight="1">
      <c r="A9" s="33">
        <v>38.0</v>
      </c>
      <c r="B9" s="33">
        <v>48.0</v>
      </c>
      <c r="C9" s="8" t="s">
        <v>10</v>
      </c>
      <c r="D9" s="8" t="s">
        <v>459</v>
      </c>
      <c r="E9" s="8" t="s">
        <v>479</v>
      </c>
      <c r="F9" s="8" t="s">
        <v>480</v>
      </c>
      <c r="G9" s="8" t="s">
        <v>72</v>
      </c>
    </row>
    <row r="10">
      <c r="H10" s="34" t="s">
        <v>481</v>
      </c>
    </row>
    <row r="11" ht="24.0" customHeight="1">
      <c r="A11" s="35" t="s">
        <v>311</v>
      </c>
      <c r="B11" s="35" t="s">
        <v>482</v>
      </c>
      <c r="C11" s="35" t="s">
        <v>95</v>
      </c>
      <c r="D11" s="35" t="s">
        <v>483</v>
      </c>
      <c r="E11" s="35" t="s">
        <v>484</v>
      </c>
      <c r="F11" s="35" t="s">
        <v>485</v>
      </c>
      <c r="G11" s="35" t="s">
        <v>50</v>
      </c>
      <c r="H11" s="11">
        <v>0.0</v>
      </c>
      <c r="I11" s="11">
        <v>2.0</v>
      </c>
      <c r="J11" s="11">
        <v>4.0</v>
      </c>
      <c r="K11" s="11">
        <v>6.0</v>
      </c>
      <c r="L11" s="11">
        <v>8.0</v>
      </c>
      <c r="M11" s="11">
        <v>10.0</v>
      </c>
      <c r="N11" s="11">
        <v>12.0</v>
      </c>
      <c r="O11" s="11">
        <v>14.0</v>
      </c>
      <c r="P11" s="11">
        <v>16.0</v>
      </c>
      <c r="Q11" s="11">
        <v>18.0</v>
      </c>
      <c r="R11" s="11">
        <v>20.0</v>
      </c>
      <c r="S11" s="11">
        <v>22.0</v>
      </c>
      <c r="T11" s="11">
        <v>24.0</v>
      </c>
      <c r="U11" s="11">
        <v>26.0</v>
      </c>
      <c r="V11" s="11">
        <v>28.0</v>
      </c>
      <c r="W11" s="11">
        <v>30.0</v>
      </c>
      <c r="X11" s="11">
        <v>32.0</v>
      </c>
      <c r="Y11" s="11">
        <v>34.0</v>
      </c>
      <c r="Z11" s="11">
        <v>36.0</v>
      </c>
      <c r="AA11" s="11">
        <v>38.0</v>
      </c>
      <c r="AB11" s="11">
        <v>40.0</v>
      </c>
      <c r="AC11" s="11">
        <v>42.0</v>
      </c>
      <c r="AD11" s="11">
        <v>44.0</v>
      </c>
      <c r="AE11" s="11">
        <v>46.0</v>
      </c>
      <c r="AF11" s="11">
        <v>48.0</v>
      </c>
    </row>
    <row r="12" ht="21.75" customHeight="1">
      <c r="A12" s="8" t="s">
        <v>328</v>
      </c>
      <c r="B12" s="8" t="s">
        <v>329</v>
      </c>
      <c r="C12" s="8" t="s">
        <v>112</v>
      </c>
      <c r="D12" s="36">
        <v>0.0</v>
      </c>
      <c r="E12" s="36">
        <v>1.0</v>
      </c>
      <c r="F12" s="36">
        <v>1.0</v>
      </c>
      <c r="G12" s="8" t="s">
        <v>57</v>
      </c>
      <c r="H12" s="37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</row>
    <row r="13" ht="21.75" customHeight="1">
      <c r="A13" s="8" t="s">
        <v>336</v>
      </c>
      <c r="B13" s="8" t="s">
        <v>337</v>
      </c>
      <c r="C13" s="8" t="s">
        <v>112</v>
      </c>
      <c r="D13" s="36">
        <v>1.0</v>
      </c>
      <c r="E13" s="36">
        <v>3.0</v>
      </c>
      <c r="F13" s="36">
        <v>2.0</v>
      </c>
      <c r="G13" s="8" t="s">
        <v>57</v>
      </c>
      <c r="H13" s="37"/>
      <c r="I13" s="37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</row>
    <row r="14" ht="21.75" customHeight="1">
      <c r="A14" s="8" t="s">
        <v>340</v>
      </c>
      <c r="B14" s="8" t="s">
        <v>341</v>
      </c>
      <c r="C14" s="8" t="s">
        <v>112</v>
      </c>
      <c r="D14" s="36">
        <v>3.0</v>
      </c>
      <c r="E14" s="36">
        <v>5.0</v>
      </c>
      <c r="F14" s="36">
        <v>2.0</v>
      </c>
      <c r="G14" s="8" t="s">
        <v>57</v>
      </c>
      <c r="H14" s="38"/>
      <c r="I14" s="37"/>
      <c r="J14" s="37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</row>
    <row r="15" ht="21.75" customHeight="1">
      <c r="A15" s="8" t="s">
        <v>344</v>
      </c>
      <c r="B15" s="8" t="s">
        <v>345</v>
      </c>
      <c r="C15" s="8" t="s">
        <v>112</v>
      </c>
      <c r="D15" s="36">
        <v>5.0</v>
      </c>
      <c r="E15" s="36">
        <v>6.5</v>
      </c>
      <c r="F15" s="36">
        <v>1.5</v>
      </c>
      <c r="G15" s="8" t="s">
        <v>57</v>
      </c>
      <c r="H15" s="38"/>
      <c r="I15" s="38"/>
      <c r="J15" s="37"/>
      <c r="K15" s="37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</row>
    <row r="16" ht="21.75" customHeight="1">
      <c r="A16" s="8" t="s">
        <v>348</v>
      </c>
      <c r="B16" s="8" t="s">
        <v>349</v>
      </c>
      <c r="C16" s="8" t="s">
        <v>162</v>
      </c>
      <c r="D16" s="36">
        <v>5.0</v>
      </c>
      <c r="E16" s="36">
        <v>6.5</v>
      </c>
      <c r="F16" s="36">
        <v>1.5</v>
      </c>
      <c r="G16" s="8" t="s">
        <v>57</v>
      </c>
      <c r="H16" s="38"/>
      <c r="I16" s="38"/>
      <c r="J16" s="37"/>
      <c r="K16" s="37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ht="21.75" customHeight="1">
      <c r="A17" s="8" t="s">
        <v>351</v>
      </c>
      <c r="B17" s="8" t="s">
        <v>352</v>
      </c>
      <c r="C17" s="8" t="s">
        <v>112</v>
      </c>
      <c r="D17" s="36">
        <v>6.5</v>
      </c>
      <c r="E17" s="36">
        <v>7.5</v>
      </c>
      <c r="F17" s="36">
        <v>1.0</v>
      </c>
      <c r="G17" s="8" t="s">
        <v>57</v>
      </c>
      <c r="H17" s="38"/>
      <c r="I17" s="38"/>
      <c r="J17" s="38"/>
      <c r="K17" s="37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ht="21.75" customHeight="1">
      <c r="A18" s="8" t="s">
        <v>355</v>
      </c>
      <c r="B18" s="8" t="s">
        <v>356</v>
      </c>
      <c r="C18" s="8" t="s">
        <v>162</v>
      </c>
      <c r="D18" s="36">
        <v>6.5</v>
      </c>
      <c r="E18" s="36">
        <v>8.0</v>
      </c>
      <c r="F18" s="36">
        <v>1.5</v>
      </c>
      <c r="G18" s="8" t="s">
        <v>57</v>
      </c>
      <c r="H18" s="38"/>
      <c r="I18" s="38"/>
      <c r="J18" s="38"/>
      <c r="K18" s="37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ht="21.75" customHeight="1">
      <c r="A19" s="8" t="s">
        <v>360</v>
      </c>
      <c r="B19" s="8" t="s">
        <v>361</v>
      </c>
      <c r="C19" s="8" t="s">
        <v>112</v>
      </c>
      <c r="D19" s="36">
        <v>8.0</v>
      </c>
      <c r="E19" s="36">
        <v>10.0</v>
      </c>
      <c r="F19" s="36">
        <v>2.0</v>
      </c>
      <c r="G19" s="8" t="s">
        <v>60</v>
      </c>
      <c r="H19" s="38"/>
      <c r="I19" s="38"/>
      <c r="J19" s="38"/>
      <c r="K19" s="38"/>
      <c r="L19" s="39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ht="21.75" customHeight="1">
      <c r="A20" s="8" t="s">
        <v>364</v>
      </c>
      <c r="B20" s="8" t="s">
        <v>365</v>
      </c>
      <c r="C20" s="8" t="s">
        <v>162</v>
      </c>
      <c r="D20" s="36">
        <v>10.0</v>
      </c>
      <c r="E20" s="36">
        <v>11.0</v>
      </c>
      <c r="F20" s="36">
        <v>1.0</v>
      </c>
      <c r="G20" s="8" t="s">
        <v>60</v>
      </c>
      <c r="H20" s="38"/>
      <c r="I20" s="38"/>
      <c r="J20" s="38"/>
      <c r="K20" s="38"/>
      <c r="L20" s="38"/>
      <c r="M20" s="39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ht="21.75" customHeight="1">
      <c r="A21" s="8" t="s">
        <v>39</v>
      </c>
      <c r="B21" s="8" t="s">
        <v>368</v>
      </c>
      <c r="C21" s="8" t="s">
        <v>112</v>
      </c>
      <c r="D21" s="36">
        <v>11.0</v>
      </c>
      <c r="E21" s="36">
        <v>13.0</v>
      </c>
      <c r="F21" s="36">
        <v>2.0</v>
      </c>
      <c r="G21" s="8" t="s">
        <v>60</v>
      </c>
      <c r="H21" s="38"/>
      <c r="I21" s="38"/>
      <c r="J21" s="38"/>
      <c r="K21" s="38"/>
      <c r="L21" s="38"/>
      <c r="M21" s="39"/>
      <c r="N21" s="39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ht="21.75" customHeight="1">
      <c r="A22" s="8" t="s">
        <v>372</v>
      </c>
      <c r="B22" s="8" t="s">
        <v>373</v>
      </c>
      <c r="C22" s="8" t="s">
        <v>162</v>
      </c>
      <c r="D22" s="36">
        <v>13.0</v>
      </c>
      <c r="E22" s="36">
        <v>15.5</v>
      </c>
      <c r="F22" s="36">
        <v>2.5</v>
      </c>
      <c r="G22" s="8" t="s">
        <v>60</v>
      </c>
      <c r="H22" s="38"/>
      <c r="I22" s="38"/>
      <c r="J22" s="38"/>
      <c r="K22" s="38"/>
      <c r="L22" s="38"/>
      <c r="M22" s="38"/>
      <c r="N22" s="39"/>
      <c r="O22" s="39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ht="21.75" customHeight="1">
      <c r="A23" s="8" t="s">
        <v>377</v>
      </c>
      <c r="B23" s="8" t="s">
        <v>378</v>
      </c>
      <c r="C23" s="8" t="s">
        <v>112</v>
      </c>
      <c r="D23" s="36">
        <v>15.0</v>
      </c>
      <c r="E23" s="36">
        <v>16.0</v>
      </c>
      <c r="F23" s="36">
        <v>1.0</v>
      </c>
      <c r="G23" s="8" t="s">
        <v>60</v>
      </c>
      <c r="H23" s="38"/>
      <c r="I23" s="38"/>
      <c r="J23" s="38"/>
      <c r="K23" s="38"/>
      <c r="L23" s="38"/>
      <c r="M23" s="38"/>
      <c r="N23" s="38"/>
      <c r="O23" s="39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ht="21.75" customHeight="1">
      <c r="A24" s="8" t="s">
        <v>381</v>
      </c>
      <c r="B24" s="8" t="s">
        <v>382</v>
      </c>
      <c r="C24" s="8" t="s">
        <v>112</v>
      </c>
      <c r="D24" s="36">
        <v>16.0</v>
      </c>
      <c r="E24" s="36">
        <v>18.0</v>
      </c>
      <c r="F24" s="36">
        <v>2.0</v>
      </c>
      <c r="G24" s="8" t="s">
        <v>63</v>
      </c>
      <c r="H24" s="38"/>
      <c r="I24" s="38"/>
      <c r="J24" s="38"/>
      <c r="K24" s="38"/>
      <c r="L24" s="38"/>
      <c r="M24" s="38"/>
      <c r="N24" s="38"/>
      <c r="O24" s="38"/>
      <c r="P24" s="40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ht="21.75" customHeight="1">
      <c r="A25" s="8" t="s">
        <v>385</v>
      </c>
      <c r="B25" s="8" t="s">
        <v>386</v>
      </c>
      <c r="C25" s="8" t="s">
        <v>162</v>
      </c>
      <c r="D25" s="36">
        <v>16.0</v>
      </c>
      <c r="E25" s="36">
        <v>20.0</v>
      </c>
      <c r="F25" s="36">
        <v>4.0</v>
      </c>
      <c r="G25" s="8" t="s">
        <v>63</v>
      </c>
      <c r="H25" s="38"/>
      <c r="I25" s="38"/>
      <c r="J25" s="38"/>
      <c r="K25" s="38"/>
      <c r="L25" s="38"/>
      <c r="M25" s="38"/>
      <c r="N25" s="38"/>
      <c r="O25" s="38"/>
      <c r="P25" s="40"/>
      <c r="Q25" s="40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ht="21.75" customHeight="1">
      <c r="A26" s="8" t="s">
        <v>390</v>
      </c>
      <c r="B26" s="8" t="s">
        <v>391</v>
      </c>
      <c r="C26" s="8" t="s">
        <v>112</v>
      </c>
      <c r="D26" s="36">
        <v>18.0</v>
      </c>
      <c r="E26" s="36">
        <v>19.0</v>
      </c>
      <c r="F26" s="36">
        <v>1.0</v>
      </c>
      <c r="G26" s="8" t="s">
        <v>63</v>
      </c>
      <c r="H26" s="38"/>
      <c r="I26" s="38"/>
      <c r="J26" s="38"/>
      <c r="K26" s="38"/>
      <c r="L26" s="38"/>
      <c r="M26" s="38"/>
      <c r="N26" s="38"/>
      <c r="O26" s="38"/>
      <c r="P26" s="38"/>
      <c r="Q26" s="40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ht="21.75" customHeight="1">
      <c r="A27" s="8" t="s">
        <v>394</v>
      </c>
      <c r="B27" s="8" t="s">
        <v>395</v>
      </c>
      <c r="C27" s="8" t="s">
        <v>112</v>
      </c>
      <c r="D27" s="36">
        <v>19.0</v>
      </c>
      <c r="E27" s="36">
        <v>20.5</v>
      </c>
      <c r="F27" s="36">
        <v>1.5</v>
      </c>
      <c r="G27" s="8" t="s">
        <v>63</v>
      </c>
      <c r="H27" s="38"/>
      <c r="I27" s="38"/>
      <c r="J27" s="38"/>
      <c r="K27" s="38"/>
      <c r="L27" s="38"/>
      <c r="M27" s="38"/>
      <c r="N27" s="38"/>
      <c r="O27" s="38"/>
      <c r="P27" s="38"/>
      <c r="Q27" s="40"/>
      <c r="R27" s="40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ht="21.75" customHeight="1">
      <c r="A28" s="8" t="s">
        <v>399</v>
      </c>
      <c r="B28" s="8" t="s">
        <v>400</v>
      </c>
      <c r="C28" s="8" t="s">
        <v>162</v>
      </c>
      <c r="D28" s="36">
        <v>20.0</v>
      </c>
      <c r="E28" s="36">
        <v>21.5</v>
      </c>
      <c r="F28" s="36">
        <v>1.5</v>
      </c>
      <c r="G28" s="8" t="s">
        <v>63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40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ht="21.75" customHeight="1">
      <c r="A29" s="8" t="s">
        <v>403</v>
      </c>
      <c r="B29" s="8" t="s">
        <v>404</v>
      </c>
      <c r="C29" s="8" t="s">
        <v>406</v>
      </c>
      <c r="D29" s="36">
        <v>28.0</v>
      </c>
      <c r="E29" s="36">
        <v>29.0</v>
      </c>
      <c r="F29" s="36">
        <v>1.0</v>
      </c>
      <c r="G29" s="8" t="s">
        <v>66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41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ht="21.75" customHeight="1">
      <c r="A30" s="8" t="s">
        <v>409</v>
      </c>
      <c r="B30" s="8" t="s">
        <v>410</v>
      </c>
      <c r="C30" s="8" t="s">
        <v>412</v>
      </c>
      <c r="D30" s="36">
        <v>29.0</v>
      </c>
      <c r="E30" s="36">
        <v>30.5</v>
      </c>
      <c r="F30" s="36">
        <v>1.5</v>
      </c>
      <c r="G30" s="8" t="s">
        <v>69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42"/>
      <c r="W30" s="42"/>
      <c r="X30" s="38"/>
      <c r="Y30" s="38"/>
      <c r="Z30" s="38"/>
      <c r="AA30" s="38"/>
      <c r="AB30" s="38"/>
      <c r="AC30" s="38"/>
      <c r="AD30" s="38"/>
      <c r="AE30" s="38"/>
      <c r="AF30" s="38"/>
    </row>
    <row r="31" ht="21.75" customHeight="1">
      <c r="A31" s="8" t="s">
        <v>415</v>
      </c>
      <c r="B31" s="8" t="s">
        <v>416</v>
      </c>
      <c r="C31" s="8" t="s">
        <v>419</v>
      </c>
      <c r="D31" s="36">
        <v>28.0</v>
      </c>
      <c r="E31" s="36">
        <v>32.0</v>
      </c>
      <c r="F31" s="36">
        <v>4.0</v>
      </c>
      <c r="G31" s="8" t="s">
        <v>69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42"/>
      <c r="W31" s="42"/>
      <c r="X31" s="38"/>
      <c r="Y31" s="38"/>
      <c r="Z31" s="38"/>
      <c r="AA31" s="38"/>
      <c r="AB31" s="38"/>
      <c r="AC31" s="38"/>
      <c r="AD31" s="38"/>
      <c r="AE31" s="38"/>
      <c r="AF31" s="38"/>
    </row>
    <row r="32" ht="21.75" customHeight="1">
      <c r="A32" s="8" t="s">
        <v>422</v>
      </c>
      <c r="B32" s="8" t="s">
        <v>423</v>
      </c>
      <c r="C32" s="8" t="s">
        <v>424</v>
      </c>
      <c r="D32" s="36">
        <v>32.0</v>
      </c>
      <c r="E32" s="36">
        <v>33.5</v>
      </c>
      <c r="F32" s="36">
        <v>1.5</v>
      </c>
      <c r="G32" s="8" t="s">
        <v>69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42"/>
      <c r="Y32" s="38"/>
      <c r="Z32" s="38"/>
      <c r="AA32" s="38"/>
      <c r="AB32" s="38"/>
      <c r="AC32" s="38"/>
      <c r="AD32" s="38"/>
      <c r="AE32" s="38"/>
      <c r="AF32" s="38"/>
    </row>
    <row r="33" ht="21.75" customHeight="1">
      <c r="A33" s="8" t="s">
        <v>427</v>
      </c>
      <c r="B33" s="8" t="s">
        <v>428</v>
      </c>
      <c r="C33" s="8" t="s">
        <v>429</v>
      </c>
      <c r="D33" s="36">
        <v>33.5</v>
      </c>
      <c r="E33" s="36">
        <v>35.0</v>
      </c>
      <c r="F33" s="36">
        <v>1.5</v>
      </c>
      <c r="G33" s="8" t="s">
        <v>69</v>
      </c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42"/>
      <c r="Y33" s="42"/>
      <c r="Z33" s="38"/>
      <c r="AA33" s="38"/>
      <c r="AB33" s="38"/>
      <c r="AC33" s="38"/>
      <c r="AD33" s="38"/>
      <c r="AE33" s="38"/>
      <c r="AF33" s="38"/>
    </row>
    <row r="34" ht="21.75" customHeight="1">
      <c r="A34" s="8" t="s">
        <v>432</v>
      </c>
      <c r="B34" s="8" t="s">
        <v>433</v>
      </c>
      <c r="C34" s="8" t="s">
        <v>435</v>
      </c>
      <c r="D34" s="36">
        <v>38.0</v>
      </c>
      <c r="E34" s="36">
        <v>42.0</v>
      </c>
      <c r="F34" s="36">
        <v>4.0</v>
      </c>
      <c r="G34" s="8" t="s">
        <v>72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43"/>
      <c r="AB34" s="43"/>
      <c r="AC34" s="38"/>
      <c r="AD34" s="38"/>
      <c r="AE34" s="38"/>
      <c r="AF34" s="38"/>
    </row>
    <row r="35" ht="21.75" customHeight="1">
      <c r="A35" s="8" t="s">
        <v>438</v>
      </c>
      <c r="B35" s="8" t="s">
        <v>439</v>
      </c>
      <c r="C35" s="8" t="s">
        <v>440</v>
      </c>
      <c r="D35" s="36">
        <v>42.0</v>
      </c>
      <c r="E35" s="36">
        <v>45.0</v>
      </c>
      <c r="F35" s="36">
        <v>3.0</v>
      </c>
      <c r="G35" s="8" t="s">
        <v>72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43"/>
      <c r="AD35" s="43"/>
      <c r="AE35" s="38"/>
      <c r="AF35" s="3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F2"/>
    <mergeCell ref="H10:AF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6.0"/>
    <col customWidth="1" min="3" max="3" width="21.0"/>
    <col customWidth="1" min="4" max="4" width="42.0"/>
    <col customWidth="1" min="5" max="5" width="55.0"/>
    <col customWidth="1" min="6" max="6" width="8.0"/>
    <col customWidth="1" min="7" max="7" width="20.0"/>
    <col customWidth="1" min="8" max="8" width="11.0"/>
    <col customWidth="1" min="9" max="9" width="20.0"/>
    <col customWidth="1" min="10" max="10" width="12.0"/>
    <col customWidth="1" min="11" max="11" width="40.0"/>
    <col customWidth="1" min="12" max="26" width="8.63"/>
  </cols>
  <sheetData>
    <row r="1" ht="24.0" customHeight="1">
      <c r="A1" s="44" t="s">
        <v>486</v>
      </c>
      <c r="B1" s="44" t="s">
        <v>487</v>
      </c>
      <c r="C1" s="44" t="s">
        <v>488</v>
      </c>
      <c r="D1" s="44" t="s">
        <v>489</v>
      </c>
      <c r="E1" s="44" t="s">
        <v>490</v>
      </c>
      <c r="F1" s="44" t="s">
        <v>50</v>
      </c>
      <c r="G1" s="44" t="s">
        <v>491</v>
      </c>
      <c r="H1" s="44" t="s">
        <v>492</v>
      </c>
      <c r="I1" s="44" t="s">
        <v>95</v>
      </c>
      <c r="J1" s="44" t="s">
        <v>54</v>
      </c>
      <c r="K1" s="44" t="s">
        <v>447</v>
      </c>
    </row>
    <row r="2" ht="42.0" customHeight="1">
      <c r="A2" s="27" t="s">
        <v>493</v>
      </c>
      <c r="B2" s="27" t="s">
        <v>494</v>
      </c>
      <c r="C2" s="27" t="s">
        <v>24</v>
      </c>
      <c r="D2" s="27" t="s">
        <v>329</v>
      </c>
      <c r="E2" s="27" t="s">
        <v>332</v>
      </c>
      <c r="F2" s="27" t="s">
        <v>57</v>
      </c>
      <c r="G2" s="27" t="s">
        <v>495</v>
      </c>
      <c r="H2" s="27" t="s">
        <v>321</v>
      </c>
      <c r="I2" s="27" t="s">
        <v>112</v>
      </c>
      <c r="J2" s="27" t="s">
        <v>334</v>
      </c>
      <c r="K2" s="27"/>
    </row>
    <row r="3" ht="42.0" customHeight="1">
      <c r="A3" s="27" t="s">
        <v>496</v>
      </c>
      <c r="B3" s="27" t="s">
        <v>494</v>
      </c>
      <c r="C3" s="27" t="s">
        <v>24</v>
      </c>
      <c r="D3" s="27" t="s">
        <v>337</v>
      </c>
      <c r="E3" s="27" t="s">
        <v>338</v>
      </c>
      <c r="F3" s="27" t="s">
        <v>57</v>
      </c>
      <c r="G3" s="27" t="s">
        <v>495</v>
      </c>
      <c r="H3" s="27" t="s">
        <v>321</v>
      </c>
      <c r="I3" s="27" t="s">
        <v>112</v>
      </c>
      <c r="J3" s="27" t="s">
        <v>334</v>
      </c>
      <c r="K3" s="27"/>
    </row>
    <row r="4" ht="42.0" customHeight="1">
      <c r="A4" s="27" t="s">
        <v>497</v>
      </c>
      <c r="B4" s="27" t="s">
        <v>494</v>
      </c>
      <c r="C4" s="27" t="s">
        <v>28</v>
      </c>
      <c r="D4" s="27" t="s">
        <v>341</v>
      </c>
      <c r="E4" s="27" t="s">
        <v>342</v>
      </c>
      <c r="F4" s="27" t="s">
        <v>57</v>
      </c>
      <c r="G4" s="27" t="s">
        <v>495</v>
      </c>
      <c r="H4" s="27" t="s">
        <v>321</v>
      </c>
      <c r="I4" s="27" t="s">
        <v>112</v>
      </c>
      <c r="J4" s="27" t="s">
        <v>334</v>
      </c>
      <c r="K4" s="27"/>
    </row>
    <row r="5" ht="42.0" customHeight="1">
      <c r="A5" s="27" t="s">
        <v>498</v>
      </c>
      <c r="B5" s="27" t="s">
        <v>494</v>
      </c>
      <c r="C5" s="27" t="s">
        <v>28</v>
      </c>
      <c r="D5" s="27" t="s">
        <v>345</v>
      </c>
      <c r="E5" s="27" t="s">
        <v>346</v>
      </c>
      <c r="F5" s="27" t="s">
        <v>57</v>
      </c>
      <c r="G5" s="27" t="s">
        <v>495</v>
      </c>
      <c r="H5" s="27" t="s">
        <v>321</v>
      </c>
      <c r="I5" s="27" t="s">
        <v>112</v>
      </c>
      <c r="J5" s="27" t="s">
        <v>334</v>
      </c>
      <c r="K5" s="27"/>
    </row>
    <row r="6" ht="42.0" customHeight="1">
      <c r="A6" s="27" t="s">
        <v>499</v>
      </c>
      <c r="B6" s="27" t="s">
        <v>494</v>
      </c>
      <c r="C6" s="27" t="s">
        <v>32</v>
      </c>
      <c r="D6" s="27" t="s">
        <v>349</v>
      </c>
      <c r="E6" s="27" t="s">
        <v>350</v>
      </c>
      <c r="F6" s="27" t="s">
        <v>57</v>
      </c>
      <c r="G6" s="27" t="s">
        <v>495</v>
      </c>
      <c r="H6" s="27" t="s">
        <v>321</v>
      </c>
      <c r="I6" s="27" t="s">
        <v>162</v>
      </c>
      <c r="J6" s="27" t="s">
        <v>334</v>
      </c>
      <c r="K6" s="27"/>
    </row>
    <row r="7" ht="42.0" customHeight="1">
      <c r="A7" s="27" t="s">
        <v>500</v>
      </c>
      <c r="B7" s="27" t="s">
        <v>494</v>
      </c>
      <c r="C7" s="27" t="s">
        <v>32</v>
      </c>
      <c r="D7" s="27" t="s">
        <v>352</v>
      </c>
      <c r="E7" s="27" t="s">
        <v>353</v>
      </c>
      <c r="F7" s="27" t="s">
        <v>57</v>
      </c>
      <c r="G7" s="27" t="s">
        <v>495</v>
      </c>
      <c r="H7" s="27" t="s">
        <v>321</v>
      </c>
      <c r="I7" s="27" t="s">
        <v>112</v>
      </c>
      <c r="J7" s="27" t="s">
        <v>334</v>
      </c>
      <c r="K7" s="27"/>
    </row>
    <row r="8" ht="42.0" customHeight="1">
      <c r="A8" s="27" t="s">
        <v>501</v>
      </c>
      <c r="B8" s="27" t="s">
        <v>494</v>
      </c>
      <c r="C8" s="27" t="s">
        <v>32</v>
      </c>
      <c r="D8" s="27" t="s">
        <v>356</v>
      </c>
      <c r="E8" s="27" t="s">
        <v>357</v>
      </c>
      <c r="F8" s="27" t="s">
        <v>57</v>
      </c>
      <c r="G8" s="27" t="s">
        <v>495</v>
      </c>
      <c r="H8" s="27" t="s">
        <v>321</v>
      </c>
      <c r="I8" s="27" t="s">
        <v>162</v>
      </c>
      <c r="J8" s="27" t="s">
        <v>334</v>
      </c>
      <c r="K8" s="27"/>
    </row>
    <row r="9" ht="42.0" customHeight="1">
      <c r="A9" s="27" t="s">
        <v>502</v>
      </c>
      <c r="B9" s="27" t="s">
        <v>494</v>
      </c>
      <c r="C9" s="27" t="s">
        <v>36</v>
      </c>
      <c r="D9" s="27" t="s">
        <v>361</v>
      </c>
      <c r="E9" s="27" t="s">
        <v>363</v>
      </c>
      <c r="F9" s="27" t="s">
        <v>60</v>
      </c>
      <c r="G9" s="27" t="s">
        <v>495</v>
      </c>
      <c r="H9" s="27" t="s">
        <v>321</v>
      </c>
      <c r="I9" s="27" t="s">
        <v>112</v>
      </c>
      <c r="J9" s="27" t="s">
        <v>334</v>
      </c>
      <c r="K9" s="27"/>
    </row>
    <row r="10" ht="42.0" customHeight="1">
      <c r="A10" s="27" t="s">
        <v>503</v>
      </c>
      <c r="B10" s="27" t="s">
        <v>494</v>
      </c>
      <c r="C10" s="27" t="s">
        <v>41</v>
      </c>
      <c r="D10" s="27" t="s">
        <v>365</v>
      </c>
      <c r="E10" s="27" t="s">
        <v>366</v>
      </c>
      <c r="F10" s="27" t="s">
        <v>60</v>
      </c>
      <c r="G10" s="27" t="s">
        <v>495</v>
      </c>
      <c r="H10" s="27" t="s">
        <v>321</v>
      </c>
      <c r="I10" s="27" t="s">
        <v>162</v>
      </c>
      <c r="J10" s="27" t="s">
        <v>334</v>
      </c>
      <c r="K10" s="27"/>
    </row>
    <row r="11" ht="42.0" customHeight="1">
      <c r="A11" s="27" t="s">
        <v>504</v>
      </c>
      <c r="B11" s="27" t="s">
        <v>494</v>
      </c>
      <c r="C11" s="27" t="s">
        <v>41</v>
      </c>
      <c r="D11" s="27" t="s">
        <v>368</v>
      </c>
      <c r="E11" s="27" t="s">
        <v>370</v>
      </c>
      <c r="F11" s="27" t="s">
        <v>60</v>
      </c>
      <c r="G11" s="27" t="s">
        <v>495</v>
      </c>
      <c r="H11" s="27" t="s">
        <v>321</v>
      </c>
      <c r="I11" s="27" t="s">
        <v>112</v>
      </c>
      <c r="J11" s="27" t="s">
        <v>334</v>
      </c>
      <c r="K11" s="27"/>
    </row>
    <row r="12" ht="42.0" customHeight="1">
      <c r="A12" s="27" t="s">
        <v>505</v>
      </c>
      <c r="B12" s="27" t="s">
        <v>494</v>
      </c>
      <c r="C12" s="27" t="s">
        <v>41</v>
      </c>
      <c r="D12" s="27" t="s">
        <v>373</v>
      </c>
      <c r="E12" s="27" t="s">
        <v>375</v>
      </c>
      <c r="F12" s="27" t="s">
        <v>60</v>
      </c>
      <c r="G12" s="27" t="s">
        <v>495</v>
      </c>
      <c r="H12" s="27" t="s">
        <v>321</v>
      </c>
      <c r="I12" s="27" t="s">
        <v>162</v>
      </c>
      <c r="J12" s="27" t="s">
        <v>334</v>
      </c>
      <c r="K12" s="27"/>
    </row>
    <row r="13" ht="42.0" customHeight="1">
      <c r="A13" s="27" t="s">
        <v>506</v>
      </c>
      <c r="B13" s="27" t="s">
        <v>494</v>
      </c>
      <c r="C13" s="27" t="s">
        <v>44</v>
      </c>
      <c r="D13" s="27" t="s">
        <v>378</v>
      </c>
      <c r="E13" s="27" t="s">
        <v>379</v>
      </c>
      <c r="F13" s="27" t="s">
        <v>60</v>
      </c>
      <c r="G13" s="27" t="s">
        <v>495</v>
      </c>
      <c r="H13" s="27" t="s">
        <v>321</v>
      </c>
      <c r="I13" s="27" t="s">
        <v>112</v>
      </c>
      <c r="J13" s="27" t="s">
        <v>334</v>
      </c>
      <c r="K13" s="27"/>
    </row>
    <row r="14" ht="42.0" customHeight="1">
      <c r="A14" s="27" t="s">
        <v>507</v>
      </c>
      <c r="B14" s="27" t="s">
        <v>494</v>
      </c>
      <c r="C14" s="27" t="s">
        <v>44</v>
      </c>
      <c r="D14" s="27" t="s">
        <v>382</v>
      </c>
      <c r="E14" s="27" t="s">
        <v>383</v>
      </c>
      <c r="F14" s="27" t="s">
        <v>63</v>
      </c>
      <c r="G14" s="27" t="s">
        <v>495</v>
      </c>
      <c r="H14" s="27" t="s">
        <v>321</v>
      </c>
      <c r="I14" s="27" t="s">
        <v>112</v>
      </c>
      <c r="J14" s="27" t="s">
        <v>334</v>
      </c>
      <c r="K14" s="27"/>
    </row>
    <row r="15" ht="42.0" customHeight="1">
      <c r="A15" s="27" t="s">
        <v>508</v>
      </c>
      <c r="B15" s="27" t="s">
        <v>494</v>
      </c>
      <c r="C15" s="27" t="s">
        <v>36</v>
      </c>
      <c r="D15" s="27" t="s">
        <v>386</v>
      </c>
      <c r="E15" s="27" t="s">
        <v>388</v>
      </c>
      <c r="F15" s="27" t="s">
        <v>63</v>
      </c>
      <c r="G15" s="27" t="s">
        <v>495</v>
      </c>
      <c r="H15" s="27" t="s">
        <v>321</v>
      </c>
      <c r="I15" s="27" t="s">
        <v>162</v>
      </c>
      <c r="J15" s="27" t="s">
        <v>334</v>
      </c>
      <c r="K15" s="27"/>
    </row>
    <row r="16" ht="42.0" customHeight="1">
      <c r="A16" s="27" t="s">
        <v>509</v>
      </c>
      <c r="B16" s="27" t="s">
        <v>494</v>
      </c>
      <c r="C16" s="27" t="s">
        <v>47</v>
      </c>
      <c r="D16" s="27" t="s">
        <v>391</v>
      </c>
      <c r="E16" s="27" t="s">
        <v>392</v>
      </c>
      <c r="F16" s="27" t="s">
        <v>63</v>
      </c>
      <c r="G16" s="27" t="s">
        <v>495</v>
      </c>
      <c r="H16" s="27" t="s">
        <v>321</v>
      </c>
      <c r="I16" s="27" t="s">
        <v>112</v>
      </c>
      <c r="J16" s="27" t="s">
        <v>334</v>
      </c>
      <c r="K16" s="27"/>
    </row>
    <row r="17" ht="42.0" customHeight="1">
      <c r="A17" s="27" t="s">
        <v>510</v>
      </c>
      <c r="B17" s="27" t="s">
        <v>494</v>
      </c>
      <c r="C17" s="27" t="s">
        <v>47</v>
      </c>
      <c r="D17" s="27" t="s">
        <v>395</v>
      </c>
      <c r="E17" s="27" t="s">
        <v>397</v>
      </c>
      <c r="F17" s="27" t="s">
        <v>63</v>
      </c>
      <c r="G17" s="27" t="s">
        <v>495</v>
      </c>
      <c r="H17" s="27" t="s">
        <v>321</v>
      </c>
      <c r="I17" s="27" t="s">
        <v>112</v>
      </c>
      <c r="J17" s="27" t="s">
        <v>334</v>
      </c>
      <c r="K17" s="27"/>
    </row>
    <row r="18" ht="42.0" customHeight="1">
      <c r="A18" s="27" t="s">
        <v>511</v>
      </c>
      <c r="B18" s="27" t="s">
        <v>494</v>
      </c>
      <c r="C18" s="27" t="s">
        <v>47</v>
      </c>
      <c r="D18" s="27" t="s">
        <v>400</v>
      </c>
      <c r="E18" s="27" t="s">
        <v>401</v>
      </c>
      <c r="F18" s="27" t="s">
        <v>63</v>
      </c>
      <c r="G18" s="27" t="s">
        <v>495</v>
      </c>
      <c r="H18" s="27" t="s">
        <v>321</v>
      </c>
      <c r="I18" s="27" t="s">
        <v>162</v>
      </c>
      <c r="J18" s="27" t="s">
        <v>334</v>
      </c>
      <c r="K18" s="27"/>
    </row>
    <row r="19" ht="42.0" customHeight="1">
      <c r="A19" s="27" t="s">
        <v>512</v>
      </c>
      <c r="B19" s="27" t="s">
        <v>494</v>
      </c>
      <c r="C19" s="27" t="s">
        <v>49</v>
      </c>
      <c r="D19" s="27" t="s">
        <v>404</v>
      </c>
      <c r="E19" s="27" t="s">
        <v>407</v>
      </c>
      <c r="F19" s="27" t="s">
        <v>66</v>
      </c>
      <c r="G19" s="27" t="s">
        <v>513</v>
      </c>
      <c r="H19" s="27" t="s">
        <v>321</v>
      </c>
      <c r="I19" s="27" t="s">
        <v>406</v>
      </c>
      <c r="J19" s="27" t="s">
        <v>334</v>
      </c>
      <c r="K19" s="27"/>
    </row>
    <row r="20" ht="42.0" customHeight="1">
      <c r="A20" s="27" t="s">
        <v>514</v>
      </c>
      <c r="B20" s="27" t="s">
        <v>494</v>
      </c>
      <c r="C20" s="27" t="s">
        <v>49</v>
      </c>
      <c r="D20" s="27" t="s">
        <v>410</v>
      </c>
      <c r="E20" s="27" t="s">
        <v>413</v>
      </c>
      <c r="F20" s="27" t="s">
        <v>69</v>
      </c>
      <c r="G20" s="27" t="s">
        <v>495</v>
      </c>
      <c r="H20" s="27" t="s">
        <v>321</v>
      </c>
      <c r="I20" s="27" t="s">
        <v>412</v>
      </c>
      <c r="J20" s="27" t="s">
        <v>334</v>
      </c>
      <c r="K20" s="27"/>
    </row>
    <row r="21" ht="42.0" customHeight="1">
      <c r="A21" s="27" t="s">
        <v>515</v>
      </c>
      <c r="B21" s="27" t="s">
        <v>494</v>
      </c>
      <c r="C21" s="27" t="s">
        <v>48</v>
      </c>
      <c r="D21" s="27" t="s">
        <v>416</v>
      </c>
      <c r="E21" s="27" t="s">
        <v>420</v>
      </c>
      <c r="F21" s="27" t="s">
        <v>69</v>
      </c>
      <c r="G21" s="27" t="s">
        <v>495</v>
      </c>
      <c r="H21" s="27" t="s">
        <v>516</v>
      </c>
      <c r="I21" s="27" t="s">
        <v>419</v>
      </c>
      <c r="J21" s="27" t="s">
        <v>334</v>
      </c>
      <c r="K21" s="27"/>
    </row>
    <row r="22" ht="42.0" customHeight="1">
      <c r="A22" s="27" t="s">
        <v>517</v>
      </c>
      <c r="B22" s="27" t="s">
        <v>494</v>
      </c>
      <c r="C22" s="27" t="s">
        <v>48</v>
      </c>
      <c r="D22" s="27" t="s">
        <v>423</v>
      </c>
      <c r="E22" s="27" t="s">
        <v>425</v>
      </c>
      <c r="F22" s="27" t="s">
        <v>69</v>
      </c>
      <c r="G22" s="27" t="s">
        <v>495</v>
      </c>
      <c r="H22" s="27" t="s">
        <v>516</v>
      </c>
      <c r="I22" s="27" t="s">
        <v>424</v>
      </c>
      <c r="J22" s="27" t="s">
        <v>334</v>
      </c>
      <c r="K22" s="27"/>
    </row>
    <row r="23" ht="42.0" customHeight="1">
      <c r="A23" s="27" t="s">
        <v>518</v>
      </c>
      <c r="B23" s="27" t="s">
        <v>494</v>
      </c>
      <c r="C23" s="27" t="s">
        <v>49</v>
      </c>
      <c r="D23" s="27" t="s">
        <v>428</v>
      </c>
      <c r="E23" s="27" t="s">
        <v>430</v>
      </c>
      <c r="F23" s="27" t="s">
        <v>69</v>
      </c>
      <c r="G23" s="27" t="s">
        <v>495</v>
      </c>
      <c r="H23" s="27" t="s">
        <v>321</v>
      </c>
      <c r="I23" s="27" t="s">
        <v>429</v>
      </c>
      <c r="J23" s="27" t="s">
        <v>334</v>
      </c>
      <c r="K23" s="27"/>
    </row>
    <row r="24" ht="42.0" customHeight="1">
      <c r="A24" s="27" t="s">
        <v>519</v>
      </c>
      <c r="B24" s="27" t="s">
        <v>494</v>
      </c>
      <c r="C24" s="27" t="s">
        <v>49</v>
      </c>
      <c r="D24" s="27" t="s">
        <v>433</v>
      </c>
      <c r="E24" s="27" t="s">
        <v>436</v>
      </c>
      <c r="F24" s="27" t="s">
        <v>72</v>
      </c>
      <c r="G24" s="27" t="s">
        <v>495</v>
      </c>
      <c r="H24" s="27" t="s">
        <v>321</v>
      </c>
      <c r="I24" s="27" t="s">
        <v>435</v>
      </c>
      <c r="J24" s="27" t="s">
        <v>334</v>
      </c>
      <c r="K24" s="27"/>
    </row>
    <row r="25" ht="42.0" customHeight="1">
      <c r="A25" s="27" t="s">
        <v>520</v>
      </c>
      <c r="B25" s="27" t="s">
        <v>494</v>
      </c>
      <c r="C25" s="27" t="s">
        <v>49</v>
      </c>
      <c r="D25" s="27" t="s">
        <v>439</v>
      </c>
      <c r="E25" s="27" t="s">
        <v>441</v>
      </c>
      <c r="F25" s="27" t="s">
        <v>72</v>
      </c>
      <c r="G25" s="27" t="s">
        <v>495</v>
      </c>
      <c r="H25" s="27" t="s">
        <v>321</v>
      </c>
      <c r="I25" s="27" t="s">
        <v>440</v>
      </c>
      <c r="J25" s="27" t="s">
        <v>334</v>
      </c>
      <c r="K25" s="27"/>
    </row>
    <row r="26" ht="42.0" customHeight="1">
      <c r="A26" s="27" t="s">
        <v>521</v>
      </c>
      <c r="B26" s="27" t="s">
        <v>522</v>
      </c>
      <c r="C26" s="27" t="s">
        <v>523</v>
      </c>
      <c r="D26" s="27" t="s">
        <v>524</v>
      </c>
      <c r="E26" s="27" t="s">
        <v>525</v>
      </c>
      <c r="F26" s="27" t="s">
        <v>63</v>
      </c>
      <c r="G26" s="27" t="s">
        <v>526</v>
      </c>
      <c r="H26" s="27" t="s">
        <v>321</v>
      </c>
      <c r="I26" s="27" t="s">
        <v>527</v>
      </c>
      <c r="J26" s="27" t="s">
        <v>334</v>
      </c>
      <c r="K26" s="27"/>
    </row>
    <row r="27" ht="42.0" customHeight="1">
      <c r="A27" s="27" t="s">
        <v>528</v>
      </c>
      <c r="B27" s="27" t="s">
        <v>522</v>
      </c>
      <c r="C27" s="27" t="s">
        <v>37</v>
      </c>
      <c r="D27" s="27" t="s">
        <v>529</v>
      </c>
      <c r="E27" s="27" t="s">
        <v>530</v>
      </c>
      <c r="F27" s="27" t="s">
        <v>60</v>
      </c>
      <c r="G27" s="27" t="s">
        <v>531</v>
      </c>
      <c r="H27" s="27" t="s">
        <v>321</v>
      </c>
      <c r="I27" s="27" t="s">
        <v>532</v>
      </c>
      <c r="J27" s="27" t="s">
        <v>334</v>
      </c>
      <c r="K27" s="27"/>
    </row>
    <row r="28" ht="42.0" customHeight="1">
      <c r="A28" s="27" t="s">
        <v>533</v>
      </c>
      <c r="B28" s="27" t="s">
        <v>534</v>
      </c>
      <c r="C28" s="27" t="s">
        <v>535</v>
      </c>
      <c r="D28" s="27" t="s">
        <v>536</v>
      </c>
      <c r="E28" s="27" t="s">
        <v>537</v>
      </c>
      <c r="F28" s="27" t="s">
        <v>69</v>
      </c>
      <c r="G28" s="27" t="s">
        <v>531</v>
      </c>
      <c r="H28" s="27" t="s">
        <v>321</v>
      </c>
      <c r="I28" s="27" t="s">
        <v>412</v>
      </c>
      <c r="J28" s="27" t="s">
        <v>334</v>
      </c>
      <c r="K28" s="27"/>
    </row>
    <row r="29" ht="42.0" customHeight="1">
      <c r="A29" s="27" t="s">
        <v>538</v>
      </c>
      <c r="B29" s="27" t="s">
        <v>539</v>
      </c>
      <c r="C29" s="27" t="s">
        <v>540</v>
      </c>
      <c r="D29" s="27" t="s">
        <v>541</v>
      </c>
      <c r="E29" s="27" t="s">
        <v>542</v>
      </c>
      <c r="F29" s="27" t="s">
        <v>63</v>
      </c>
      <c r="G29" s="27" t="s">
        <v>526</v>
      </c>
      <c r="H29" s="27" t="s">
        <v>321</v>
      </c>
      <c r="I29" s="27" t="s">
        <v>112</v>
      </c>
      <c r="J29" s="27" t="s">
        <v>334</v>
      </c>
      <c r="K29" s="27"/>
    </row>
    <row r="30" ht="42.0" customHeight="1">
      <c r="A30" s="27" t="s">
        <v>543</v>
      </c>
      <c r="B30" s="27" t="s">
        <v>539</v>
      </c>
      <c r="C30" s="27" t="s">
        <v>268</v>
      </c>
      <c r="D30" s="27" t="s">
        <v>544</v>
      </c>
      <c r="E30" s="27" t="s">
        <v>545</v>
      </c>
      <c r="F30" s="27" t="s">
        <v>63</v>
      </c>
      <c r="G30" s="27" t="s">
        <v>526</v>
      </c>
      <c r="H30" s="27" t="s">
        <v>516</v>
      </c>
      <c r="I30" s="27" t="s">
        <v>532</v>
      </c>
      <c r="J30" s="27" t="s">
        <v>334</v>
      </c>
      <c r="K30" s="27"/>
    </row>
    <row r="31" ht="42.0" customHeight="1">
      <c r="A31" s="27" t="s">
        <v>546</v>
      </c>
      <c r="B31" s="27" t="s">
        <v>209</v>
      </c>
      <c r="C31" s="27" t="s">
        <v>547</v>
      </c>
      <c r="D31" s="27" t="s">
        <v>548</v>
      </c>
      <c r="E31" s="27" t="s">
        <v>549</v>
      </c>
      <c r="F31" s="27" t="s">
        <v>69</v>
      </c>
      <c r="G31" s="27" t="s">
        <v>513</v>
      </c>
      <c r="H31" s="27" t="s">
        <v>321</v>
      </c>
      <c r="I31" s="27" t="s">
        <v>550</v>
      </c>
      <c r="J31" s="27" t="s">
        <v>334</v>
      </c>
      <c r="K31" s="27"/>
    </row>
    <row r="32" ht="42.0" customHeight="1">
      <c r="A32" s="27" t="s">
        <v>551</v>
      </c>
      <c r="B32" s="27" t="s">
        <v>552</v>
      </c>
      <c r="C32" s="27" t="s">
        <v>553</v>
      </c>
      <c r="D32" s="27" t="s">
        <v>554</v>
      </c>
      <c r="E32" s="27" t="s">
        <v>555</v>
      </c>
      <c r="F32" s="27" t="s">
        <v>66</v>
      </c>
      <c r="G32" s="27" t="s">
        <v>513</v>
      </c>
      <c r="H32" s="27" t="s">
        <v>321</v>
      </c>
      <c r="I32" s="27" t="s">
        <v>527</v>
      </c>
      <c r="J32" s="27" t="s">
        <v>334</v>
      </c>
      <c r="K32" s="27"/>
    </row>
    <row r="33" ht="42.0" customHeight="1">
      <c r="A33" s="27" t="s">
        <v>556</v>
      </c>
      <c r="B33" s="27" t="s">
        <v>557</v>
      </c>
      <c r="C33" s="27" t="s">
        <v>558</v>
      </c>
      <c r="D33" s="27" t="s">
        <v>559</v>
      </c>
      <c r="E33" s="27" t="s">
        <v>560</v>
      </c>
      <c r="F33" s="27" t="s">
        <v>69</v>
      </c>
      <c r="G33" s="27" t="s">
        <v>513</v>
      </c>
      <c r="H33" s="27" t="s">
        <v>516</v>
      </c>
      <c r="I33" s="27" t="s">
        <v>561</v>
      </c>
      <c r="J33" s="27" t="s">
        <v>334</v>
      </c>
      <c r="K33" s="27"/>
    </row>
    <row r="34" ht="42.0" customHeight="1">
      <c r="A34" s="27" t="s">
        <v>562</v>
      </c>
      <c r="B34" s="27" t="s">
        <v>563</v>
      </c>
      <c r="C34" s="27" t="s">
        <v>564</v>
      </c>
      <c r="D34" s="27" t="s">
        <v>565</v>
      </c>
      <c r="E34" s="27" t="s">
        <v>566</v>
      </c>
      <c r="F34" s="27" t="s">
        <v>72</v>
      </c>
      <c r="G34" s="27" t="s">
        <v>567</v>
      </c>
      <c r="H34" s="27" t="s">
        <v>321</v>
      </c>
      <c r="I34" s="27" t="s">
        <v>112</v>
      </c>
      <c r="J34" s="27" t="s">
        <v>334</v>
      </c>
      <c r="K34" s="27"/>
    </row>
    <row r="35" ht="42.0" customHeight="1">
      <c r="A35" s="27" t="s">
        <v>568</v>
      </c>
      <c r="B35" s="27" t="s">
        <v>569</v>
      </c>
      <c r="C35" s="27" t="s">
        <v>301</v>
      </c>
      <c r="D35" s="27" t="s">
        <v>570</v>
      </c>
      <c r="E35" s="27" t="s">
        <v>571</v>
      </c>
      <c r="F35" s="27" t="s">
        <v>72</v>
      </c>
      <c r="G35" s="27" t="s">
        <v>572</v>
      </c>
      <c r="H35" s="27" t="s">
        <v>321</v>
      </c>
      <c r="I35" s="27" t="s">
        <v>429</v>
      </c>
      <c r="J35" s="27" t="s">
        <v>334</v>
      </c>
      <c r="K35" s="2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35">
    <cfRule type="expression" dxfId="8" priority="1">
      <formula>J2="Pass"</formula>
    </cfRule>
  </conditionalFormatting>
  <conditionalFormatting sqref="J2:J35">
    <cfRule type="expression" dxfId="13" priority="2">
      <formula>J2="Fail"</formula>
    </cfRule>
  </conditionalFormatting>
  <conditionalFormatting sqref="J2:J35">
    <cfRule type="expression" dxfId="6" priority="3">
      <formula>J2="Blocked"</formula>
    </cfRule>
  </conditionalFormatting>
  <conditionalFormatting sqref="J2:J35">
    <cfRule type="expression" dxfId="4" priority="4">
      <formula>J2="Not Run"</formula>
    </cfRule>
  </conditionalFormatting>
  <dataValidations>
    <dataValidation type="list" allowBlank="1" sqref="H2:H35">
      <formula1>"Blocker,Major,Minor"</formula1>
    </dataValidation>
    <dataValidation type="list" allowBlank="1" sqref="J2:J35">
      <formula1>"Not Run,Pass,Fail,Blocked"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2.0"/>
    <col customWidth="1" min="3" max="3" width="18.0"/>
    <col customWidth="1" min="4" max="5" width="12.0"/>
    <col customWidth="1" min="6" max="6" width="9.0"/>
    <col customWidth="1" min="7" max="7" width="28.0"/>
    <col customWidth="1" min="8" max="8" width="55.0"/>
    <col customWidth="1" min="9" max="9" width="20.0"/>
    <col customWidth="1" min="10" max="10" width="13.0"/>
    <col customWidth="1" min="11" max="11" width="12.0"/>
    <col customWidth="1" min="12" max="12" width="4.0"/>
    <col customWidth="1" min="13" max="26" width="8.63"/>
  </cols>
  <sheetData>
    <row r="1" ht="27.75" customHeight="1">
      <c r="A1" s="1" t="s">
        <v>573</v>
      </c>
    </row>
    <row r="2" ht="27.75" customHeight="1"/>
    <row r="4" ht="24.0" customHeight="1">
      <c r="A4" s="3" t="s">
        <v>574</v>
      </c>
      <c r="B4" s="3" t="s">
        <v>575</v>
      </c>
      <c r="C4" s="3" t="s">
        <v>576</v>
      </c>
      <c r="D4" s="3" t="s">
        <v>54</v>
      </c>
      <c r="E4" s="3" t="s">
        <v>14</v>
      </c>
      <c r="F4" s="3" t="s">
        <v>95</v>
      </c>
      <c r="G4" s="3" t="s">
        <v>96</v>
      </c>
      <c r="H4" s="3" t="s">
        <v>577</v>
      </c>
    </row>
    <row r="5" ht="37.5" customHeight="1">
      <c r="A5" s="8" t="s">
        <v>578</v>
      </c>
      <c r="B5" s="8" t="s">
        <v>579</v>
      </c>
      <c r="C5" s="8" t="s">
        <v>580</v>
      </c>
      <c r="D5" s="8" t="s">
        <v>581</v>
      </c>
      <c r="E5" s="8" t="s">
        <v>582</v>
      </c>
      <c r="F5" s="8" t="s">
        <v>583</v>
      </c>
      <c r="G5" s="8" t="s">
        <v>584</v>
      </c>
      <c r="H5" s="8" t="s">
        <v>585</v>
      </c>
    </row>
    <row r="6" ht="37.5" customHeight="1">
      <c r="A6" s="8" t="s">
        <v>586</v>
      </c>
      <c r="B6" s="8" t="s">
        <v>301</v>
      </c>
      <c r="C6" s="8" t="s">
        <v>587</v>
      </c>
      <c r="D6" s="8" t="s">
        <v>588</v>
      </c>
      <c r="E6" s="8" t="s">
        <v>582</v>
      </c>
      <c r="F6" s="8" t="s">
        <v>583</v>
      </c>
      <c r="G6" s="8" t="s">
        <v>57</v>
      </c>
      <c r="H6" s="8" t="s">
        <v>589</v>
      </c>
    </row>
    <row r="7" ht="37.5" customHeight="1">
      <c r="A7" s="8" t="s">
        <v>590</v>
      </c>
      <c r="B7" s="8" t="s">
        <v>591</v>
      </c>
      <c r="C7" s="8" t="s">
        <v>592</v>
      </c>
      <c r="D7" s="8" t="s">
        <v>581</v>
      </c>
      <c r="E7" s="8" t="s">
        <v>582</v>
      </c>
      <c r="F7" s="8" t="s">
        <v>593</v>
      </c>
      <c r="G7" s="8" t="s">
        <v>63</v>
      </c>
      <c r="H7" s="8" t="s">
        <v>594</v>
      </c>
    </row>
    <row r="8" ht="37.5" customHeight="1">
      <c r="A8" s="8" t="s">
        <v>595</v>
      </c>
      <c r="B8" s="8" t="s">
        <v>596</v>
      </c>
      <c r="C8" s="8" t="s">
        <v>597</v>
      </c>
      <c r="D8" s="8" t="s">
        <v>588</v>
      </c>
      <c r="E8" s="8" t="s">
        <v>582</v>
      </c>
      <c r="F8" s="8" t="s">
        <v>598</v>
      </c>
      <c r="G8" s="8" t="s">
        <v>63</v>
      </c>
      <c r="H8" s="8" t="s">
        <v>599</v>
      </c>
    </row>
    <row r="9" ht="37.5" customHeight="1">
      <c r="A9" s="8" t="s">
        <v>600</v>
      </c>
      <c r="B9" s="8" t="s">
        <v>601</v>
      </c>
      <c r="C9" s="8" t="s">
        <v>602</v>
      </c>
      <c r="D9" s="8" t="s">
        <v>26</v>
      </c>
      <c r="E9" s="8" t="s">
        <v>582</v>
      </c>
      <c r="F9" s="8" t="s">
        <v>603</v>
      </c>
      <c r="G9" s="8" t="s">
        <v>584</v>
      </c>
      <c r="H9" s="8" t="s">
        <v>604</v>
      </c>
    </row>
    <row r="10" ht="37.5" customHeight="1">
      <c r="A10" s="8" t="s">
        <v>605</v>
      </c>
      <c r="B10" s="8" t="s">
        <v>33</v>
      </c>
      <c r="C10" s="8" t="s">
        <v>606</v>
      </c>
      <c r="D10" s="8" t="s">
        <v>26</v>
      </c>
      <c r="E10" s="8" t="s">
        <v>582</v>
      </c>
      <c r="F10" s="8" t="s">
        <v>603</v>
      </c>
      <c r="G10" s="8" t="s">
        <v>60</v>
      </c>
      <c r="H10" s="8" t="s">
        <v>607</v>
      </c>
    </row>
    <row r="11" ht="37.5" customHeight="1">
      <c r="A11" s="8" t="s">
        <v>608</v>
      </c>
      <c r="B11" s="8" t="s">
        <v>609</v>
      </c>
      <c r="C11" s="8" t="s">
        <v>610</v>
      </c>
      <c r="D11" s="8" t="s">
        <v>26</v>
      </c>
      <c r="E11" s="8" t="s">
        <v>582</v>
      </c>
      <c r="F11" s="8" t="s">
        <v>603</v>
      </c>
      <c r="G11" s="8" t="s">
        <v>63</v>
      </c>
      <c r="H11" s="8" t="s">
        <v>611</v>
      </c>
    </row>
    <row r="12" ht="37.5" customHeight="1">
      <c r="A12" s="8" t="s">
        <v>612</v>
      </c>
      <c r="B12" s="8" t="s">
        <v>613</v>
      </c>
      <c r="C12" s="8" t="s">
        <v>614</v>
      </c>
      <c r="D12" s="8" t="s">
        <v>26</v>
      </c>
      <c r="E12" s="8" t="s">
        <v>582</v>
      </c>
      <c r="F12" s="8" t="s">
        <v>583</v>
      </c>
      <c r="G12" s="8" t="s">
        <v>69</v>
      </c>
      <c r="H12" s="8" t="s">
        <v>480</v>
      </c>
    </row>
    <row r="13" ht="37.5" customHeight="1">
      <c r="A13" s="8" t="s">
        <v>615</v>
      </c>
      <c r="B13" s="8" t="s">
        <v>616</v>
      </c>
      <c r="C13" s="8" t="s">
        <v>617</v>
      </c>
      <c r="D13" s="8" t="s">
        <v>111</v>
      </c>
      <c r="E13" s="8" t="s">
        <v>618</v>
      </c>
      <c r="F13" s="8" t="s">
        <v>112</v>
      </c>
      <c r="G13" s="8" t="s">
        <v>619</v>
      </c>
      <c r="H13" s="8" t="s">
        <v>620</v>
      </c>
    </row>
    <row r="14" ht="37.5" customHeight="1">
      <c r="A14" s="8" t="s">
        <v>621</v>
      </c>
      <c r="B14" s="8" t="s">
        <v>622</v>
      </c>
      <c r="C14" s="8" t="s">
        <v>623</v>
      </c>
      <c r="D14" s="8" t="s">
        <v>111</v>
      </c>
      <c r="E14" s="8" t="s">
        <v>618</v>
      </c>
      <c r="F14" s="8" t="s">
        <v>112</v>
      </c>
      <c r="G14" s="8" t="s">
        <v>60</v>
      </c>
      <c r="H14" s="8" t="s">
        <v>624</v>
      </c>
    </row>
    <row r="17" ht="24.0" customHeight="1">
      <c r="A17" s="45" t="s">
        <v>625</v>
      </c>
      <c r="B17" s="45" t="s">
        <v>626</v>
      </c>
      <c r="C17" s="45" t="s">
        <v>627</v>
      </c>
      <c r="D17" s="45" t="s">
        <v>628</v>
      </c>
      <c r="E17" s="45" t="s">
        <v>629</v>
      </c>
      <c r="F17" s="45" t="s">
        <v>630</v>
      </c>
      <c r="G17" s="45" t="s">
        <v>631</v>
      </c>
      <c r="H17" s="45" t="s">
        <v>632</v>
      </c>
      <c r="I17" s="45" t="s">
        <v>95</v>
      </c>
      <c r="J17" s="45" t="s">
        <v>54</v>
      </c>
      <c r="K17" s="45" t="s">
        <v>633</v>
      </c>
    </row>
    <row r="18" ht="43.5" customHeight="1">
      <c r="A18" s="8" t="s">
        <v>634</v>
      </c>
      <c r="B18" s="8" t="s">
        <v>635</v>
      </c>
      <c r="C18" s="8" t="s">
        <v>636</v>
      </c>
      <c r="D18" s="8">
        <v>3.0</v>
      </c>
      <c r="E18" s="8">
        <v>3.0</v>
      </c>
      <c r="F18" s="8">
        <f t="shared" ref="F18:F25" si="1">D18*E18</f>
        <v>9</v>
      </c>
      <c r="G18" s="8" t="s">
        <v>637</v>
      </c>
      <c r="H18" s="8" t="s">
        <v>638</v>
      </c>
      <c r="I18" s="8" t="s">
        <v>583</v>
      </c>
      <c r="J18" s="8" t="s">
        <v>639</v>
      </c>
      <c r="K18" s="8" t="s">
        <v>584</v>
      </c>
    </row>
    <row r="19" ht="43.5" customHeight="1">
      <c r="A19" s="8" t="s">
        <v>640</v>
      </c>
      <c r="B19" s="8" t="s">
        <v>641</v>
      </c>
      <c r="C19" s="8" t="s">
        <v>642</v>
      </c>
      <c r="D19" s="8">
        <v>2.0</v>
      </c>
      <c r="E19" s="8">
        <v>3.0</v>
      </c>
      <c r="F19" s="8">
        <f t="shared" si="1"/>
        <v>6</v>
      </c>
      <c r="G19" s="8" t="s">
        <v>643</v>
      </c>
      <c r="H19" s="8" t="s">
        <v>644</v>
      </c>
      <c r="I19" s="8" t="s">
        <v>112</v>
      </c>
      <c r="J19" s="8" t="s">
        <v>639</v>
      </c>
      <c r="K19" s="8" t="s">
        <v>66</v>
      </c>
    </row>
    <row r="20" ht="43.5" customHeight="1">
      <c r="A20" s="8" t="s">
        <v>645</v>
      </c>
      <c r="B20" s="8" t="s">
        <v>646</v>
      </c>
      <c r="C20" s="8" t="s">
        <v>647</v>
      </c>
      <c r="D20" s="8">
        <v>2.0</v>
      </c>
      <c r="E20" s="8">
        <v>3.0</v>
      </c>
      <c r="F20" s="8">
        <f t="shared" si="1"/>
        <v>6</v>
      </c>
      <c r="G20" s="8" t="s">
        <v>648</v>
      </c>
      <c r="H20" s="8" t="s">
        <v>649</v>
      </c>
      <c r="I20" s="8" t="s">
        <v>527</v>
      </c>
      <c r="J20" s="8" t="s">
        <v>639</v>
      </c>
      <c r="K20" s="8" t="s">
        <v>69</v>
      </c>
    </row>
    <row r="21" ht="43.5" customHeight="1">
      <c r="A21" s="8" t="s">
        <v>650</v>
      </c>
      <c r="B21" s="8" t="s">
        <v>651</v>
      </c>
      <c r="C21" s="8" t="s">
        <v>652</v>
      </c>
      <c r="D21" s="8">
        <v>3.0</v>
      </c>
      <c r="E21" s="8">
        <v>3.0</v>
      </c>
      <c r="F21" s="8">
        <f t="shared" si="1"/>
        <v>9</v>
      </c>
      <c r="G21" s="8" t="s">
        <v>653</v>
      </c>
      <c r="H21" s="8" t="s">
        <v>654</v>
      </c>
      <c r="I21" s="8" t="s">
        <v>583</v>
      </c>
      <c r="J21" s="8" t="s">
        <v>639</v>
      </c>
      <c r="K21" s="8" t="s">
        <v>584</v>
      </c>
    </row>
    <row r="22" ht="43.5" customHeight="1">
      <c r="A22" s="8" t="s">
        <v>655</v>
      </c>
      <c r="B22" s="8" t="s">
        <v>656</v>
      </c>
      <c r="C22" s="8" t="s">
        <v>642</v>
      </c>
      <c r="D22" s="8">
        <v>2.0</v>
      </c>
      <c r="E22" s="8">
        <v>3.0</v>
      </c>
      <c r="F22" s="8">
        <f t="shared" si="1"/>
        <v>6</v>
      </c>
      <c r="G22" s="8" t="s">
        <v>657</v>
      </c>
      <c r="H22" s="8" t="s">
        <v>658</v>
      </c>
      <c r="I22" s="8" t="s">
        <v>112</v>
      </c>
      <c r="J22" s="8" t="s">
        <v>639</v>
      </c>
      <c r="K22" s="8" t="s">
        <v>659</v>
      </c>
    </row>
    <row r="23" ht="43.5" customHeight="1">
      <c r="A23" s="8" t="s">
        <v>660</v>
      </c>
      <c r="B23" s="8" t="s">
        <v>661</v>
      </c>
      <c r="C23" s="8" t="s">
        <v>642</v>
      </c>
      <c r="D23" s="8">
        <v>2.0</v>
      </c>
      <c r="E23" s="8">
        <v>3.0</v>
      </c>
      <c r="F23" s="8">
        <f t="shared" si="1"/>
        <v>6</v>
      </c>
      <c r="G23" s="8" t="s">
        <v>662</v>
      </c>
      <c r="H23" s="8" t="s">
        <v>663</v>
      </c>
      <c r="I23" s="8" t="s">
        <v>112</v>
      </c>
      <c r="J23" s="8" t="s">
        <v>639</v>
      </c>
      <c r="K23" s="8" t="s">
        <v>664</v>
      </c>
    </row>
    <row r="24" ht="43.5" customHeight="1">
      <c r="A24" s="8" t="s">
        <v>665</v>
      </c>
      <c r="B24" s="8" t="s">
        <v>666</v>
      </c>
      <c r="C24" s="8" t="s">
        <v>301</v>
      </c>
      <c r="D24" s="8">
        <v>2.0</v>
      </c>
      <c r="E24" s="8">
        <v>3.0</v>
      </c>
      <c r="F24" s="8">
        <f t="shared" si="1"/>
        <v>6</v>
      </c>
      <c r="G24" s="8" t="s">
        <v>667</v>
      </c>
      <c r="H24" s="8" t="s">
        <v>668</v>
      </c>
      <c r="I24" s="8" t="s">
        <v>112</v>
      </c>
      <c r="J24" s="8" t="s">
        <v>639</v>
      </c>
      <c r="K24" s="8" t="s">
        <v>669</v>
      </c>
    </row>
    <row r="25" ht="43.5" customHeight="1">
      <c r="A25" s="8" t="s">
        <v>670</v>
      </c>
      <c r="B25" s="8" t="s">
        <v>671</v>
      </c>
      <c r="C25" s="8" t="s">
        <v>672</v>
      </c>
      <c r="D25" s="8">
        <v>2.0</v>
      </c>
      <c r="E25" s="8">
        <v>3.0</v>
      </c>
      <c r="F25" s="8">
        <f t="shared" si="1"/>
        <v>6</v>
      </c>
      <c r="G25" s="8" t="s">
        <v>673</v>
      </c>
      <c r="H25" s="8" t="s">
        <v>674</v>
      </c>
      <c r="I25" s="8" t="s">
        <v>675</v>
      </c>
      <c r="J25" s="8" t="s">
        <v>639</v>
      </c>
      <c r="K25" s="8" t="s">
        <v>676</v>
      </c>
    </row>
    <row r="26" ht="15.75" customHeight="1"/>
    <row r="27" ht="15.75" customHeight="1"/>
    <row r="28" ht="15.75" customHeight="1"/>
    <row r="29" ht="24.0" customHeight="1">
      <c r="A29" s="11" t="s">
        <v>677</v>
      </c>
      <c r="B29" s="11" t="s">
        <v>678</v>
      </c>
      <c r="C29" s="11" t="s">
        <v>679</v>
      </c>
    </row>
    <row r="30" ht="15.75" customHeight="1">
      <c r="A30" s="8" t="s">
        <v>680</v>
      </c>
      <c r="B30" s="8" t="s">
        <v>681</v>
      </c>
      <c r="C30" s="8" t="s">
        <v>682</v>
      </c>
    </row>
    <row r="31" ht="15.75" customHeight="1">
      <c r="A31" s="8" t="s">
        <v>683</v>
      </c>
      <c r="B31" s="8" t="s">
        <v>681</v>
      </c>
      <c r="C31" s="8" t="s">
        <v>682</v>
      </c>
    </row>
    <row r="32" ht="15.75" customHeight="1">
      <c r="A32" s="8" t="s">
        <v>684</v>
      </c>
      <c r="B32" s="8" t="s">
        <v>681</v>
      </c>
      <c r="C32" s="8" t="s">
        <v>682</v>
      </c>
    </row>
    <row r="33" ht="15.75" customHeight="1">
      <c r="A33" s="8" t="s">
        <v>685</v>
      </c>
      <c r="B33" s="8" t="s">
        <v>681</v>
      </c>
      <c r="C33" s="8" t="s">
        <v>682</v>
      </c>
    </row>
    <row r="34" ht="15.75" customHeight="1">
      <c r="A34" s="8" t="s">
        <v>686</v>
      </c>
      <c r="B34" s="8" t="s">
        <v>681</v>
      </c>
      <c r="C34" s="8" t="s">
        <v>682</v>
      </c>
    </row>
    <row r="35" ht="15.75" customHeight="1">
      <c r="A35" s="8" t="s">
        <v>687</v>
      </c>
      <c r="B35" s="8" t="s">
        <v>681</v>
      </c>
      <c r="C35" s="8" t="s">
        <v>682</v>
      </c>
    </row>
    <row r="36" ht="15.75" customHeight="1">
      <c r="A36" s="8" t="s">
        <v>688</v>
      </c>
      <c r="B36" s="8" t="s">
        <v>681</v>
      </c>
      <c r="C36" s="8" t="s">
        <v>682</v>
      </c>
    </row>
    <row r="37" ht="15.75" customHeight="1">
      <c r="A37" s="8" t="s">
        <v>689</v>
      </c>
      <c r="B37" s="8" t="s">
        <v>681</v>
      </c>
      <c r="C37" s="8" t="s">
        <v>682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2"/>
  </mergeCells>
  <conditionalFormatting sqref="F18:F25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dataValidations>
    <dataValidation type="list" allowBlank="1" sqref="D5:D14">
      <formula1>"Pending,Proposed,Accepted,Locked,Rejected"</formula1>
    </dataValidation>
    <dataValidation type="decimal" allowBlank="1" sqref="D18:E25">
      <formula1>1.0</formula1>
      <formula2>3.0</formula2>
    </dataValidation>
    <dataValidation type="list" allowBlank="1" sqref="J18:J25">
      <formula1>"Open,Monitoring,Mitigated,Closed,Accepted"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2.0"/>
    <col customWidth="1" min="3" max="3" width="28.0"/>
    <col customWidth="1" min="4" max="4" width="23.0"/>
    <col customWidth="1" min="5" max="5" width="34.0"/>
    <col customWidth="1" min="6" max="6" width="32.0"/>
    <col customWidth="1" min="7" max="7" width="30.0"/>
    <col customWidth="1" min="8" max="8" width="31.0"/>
    <col customWidth="1" min="9" max="9" width="13.0"/>
    <col customWidth="1" min="10" max="10" width="18.0"/>
    <col customWidth="1" min="11" max="11" width="34.0"/>
    <col customWidth="1" min="12" max="26" width="8.63"/>
  </cols>
  <sheetData>
    <row r="1" ht="27.75" customHeight="1">
      <c r="A1" s="1" t="s">
        <v>690</v>
      </c>
    </row>
    <row r="2" ht="27.75" customHeight="1"/>
    <row r="3">
      <c r="A3" s="46" t="s">
        <v>691</v>
      </c>
    </row>
    <row r="5" ht="24.0" customHeight="1">
      <c r="A5" s="47" t="s">
        <v>692</v>
      </c>
      <c r="B5" s="47" t="s">
        <v>3</v>
      </c>
      <c r="C5" s="47" t="s">
        <v>54</v>
      </c>
      <c r="D5" s="47" t="s">
        <v>14</v>
      </c>
      <c r="E5" s="47" t="s">
        <v>693</v>
      </c>
    </row>
    <row r="6" ht="33.75" customHeight="1">
      <c r="A6" s="8" t="s">
        <v>694</v>
      </c>
      <c r="B6" s="8" t="s">
        <v>695</v>
      </c>
      <c r="C6" s="8" t="s">
        <v>581</v>
      </c>
      <c r="D6" s="8" t="s">
        <v>696</v>
      </c>
      <c r="E6" s="8" t="s">
        <v>697</v>
      </c>
    </row>
    <row r="7" ht="33.75" customHeight="1">
      <c r="A7" s="8" t="s">
        <v>698</v>
      </c>
      <c r="B7" s="8">
        <v>3.0</v>
      </c>
      <c r="C7" s="8" t="s">
        <v>581</v>
      </c>
      <c r="D7" s="8" t="s">
        <v>340</v>
      </c>
      <c r="E7" s="8" t="s">
        <v>699</v>
      </c>
    </row>
    <row r="8" ht="33.75" customHeight="1">
      <c r="A8" s="8" t="s">
        <v>700</v>
      </c>
      <c r="B8" s="8" t="s">
        <v>701</v>
      </c>
      <c r="C8" s="8" t="s">
        <v>581</v>
      </c>
      <c r="D8" s="8" t="s">
        <v>340</v>
      </c>
      <c r="E8" s="8" t="s">
        <v>702</v>
      </c>
    </row>
    <row r="9" ht="33.75" customHeight="1">
      <c r="A9" s="8" t="s">
        <v>703</v>
      </c>
      <c r="B9" s="8">
        <v>100.0</v>
      </c>
      <c r="C9" s="8" t="s">
        <v>581</v>
      </c>
      <c r="D9" s="8" t="s">
        <v>377</v>
      </c>
      <c r="E9" s="8" t="s">
        <v>704</v>
      </c>
    </row>
    <row r="10" ht="33.75" customHeight="1">
      <c r="A10" s="8" t="s">
        <v>705</v>
      </c>
      <c r="B10" s="8">
        <v>6.0</v>
      </c>
      <c r="C10" s="8" t="s">
        <v>26</v>
      </c>
      <c r="D10" s="8" t="s">
        <v>582</v>
      </c>
      <c r="E10" s="8" t="s">
        <v>706</v>
      </c>
    </row>
    <row r="11" ht="33.75" customHeight="1">
      <c r="A11" s="8" t="s">
        <v>707</v>
      </c>
      <c r="B11" s="8" t="s">
        <v>708</v>
      </c>
      <c r="C11" s="8" t="s">
        <v>26</v>
      </c>
      <c r="D11" s="8" t="s">
        <v>582</v>
      </c>
      <c r="E11" s="8" t="s">
        <v>709</v>
      </c>
    </row>
    <row r="12" ht="33.75" customHeight="1">
      <c r="A12" s="8" t="s">
        <v>710</v>
      </c>
      <c r="B12" s="8">
        <v>2.0</v>
      </c>
      <c r="C12" s="8" t="s">
        <v>581</v>
      </c>
      <c r="D12" s="8" t="s">
        <v>39</v>
      </c>
      <c r="E12" s="8" t="s">
        <v>711</v>
      </c>
    </row>
    <row r="13" ht="33.75" customHeight="1">
      <c r="A13" s="8" t="s">
        <v>712</v>
      </c>
      <c r="B13" s="8" t="s">
        <v>713</v>
      </c>
      <c r="C13" s="8" t="s">
        <v>588</v>
      </c>
      <c r="D13" s="8" t="s">
        <v>582</v>
      </c>
      <c r="E13" s="8" t="s">
        <v>714</v>
      </c>
    </row>
    <row r="14" ht="33.75" customHeight="1">
      <c r="A14" s="8" t="s">
        <v>715</v>
      </c>
      <c r="B14" s="8" t="s">
        <v>716</v>
      </c>
      <c r="C14" s="8" t="s">
        <v>111</v>
      </c>
      <c r="D14" s="8" t="s">
        <v>717</v>
      </c>
      <c r="E14" s="8" t="s">
        <v>718</v>
      </c>
    </row>
    <row r="15" ht="33.75" customHeight="1">
      <c r="A15" s="8" t="s">
        <v>719</v>
      </c>
      <c r="B15" s="8" t="s">
        <v>720</v>
      </c>
      <c r="C15" s="8" t="s">
        <v>111</v>
      </c>
      <c r="D15" s="8" t="s">
        <v>717</v>
      </c>
      <c r="E15" s="8" t="s">
        <v>718</v>
      </c>
    </row>
    <row r="16" ht="33.75" customHeight="1">
      <c r="A16" s="8" t="s">
        <v>721</v>
      </c>
      <c r="B16" s="8" t="s">
        <v>722</v>
      </c>
      <c r="C16" s="8" t="s">
        <v>111</v>
      </c>
      <c r="D16" s="8" t="s">
        <v>717</v>
      </c>
      <c r="E16" s="8" t="s">
        <v>723</v>
      </c>
    </row>
    <row r="17" ht="33.75" customHeight="1">
      <c r="A17" s="8" t="s">
        <v>724</v>
      </c>
      <c r="B17" s="8" t="s">
        <v>725</v>
      </c>
      <c r="C17" s="8" t="s">
        <v>111</v>
      </c>
      <c r="D17" s="8" t="s">
        <v>717</v>
      </c>
      <c r="E17" s="8" t="s">
        <v>726</v>
      </c>
    </row>
    <row r="20" ht="24.0" customHeight="1">
      <c r="A20" s="3" t="s">
        <v>727</v>
      </c>
      <c r="B20" s="3" t="s">
        <v>728</v>
      </c>
      <c r="C20" s="3" t="s">
        <v>729</v>
      </c>
      <c r="D20" s="3" t="s">
        <v>730</v>
      </c>
      <c r="E20" s="3" t="s">
        <v>731</v>
      </c>
      <c r="F20" s="3" t="s">
        <v>732</v>
      </c>
      <c r="G20" s="3" t="s">
        <v>733</v>
      </c>
      <c r="H20" s="3" t="s">
        <v>734</v>
      </c>
    </row>
    <row r="21" ht="42.0" customHeight="1">
      <c r="A21" s="8">
        <v>1.0</v>
      </c>
      <c r="B21" s="8" t="s">
        <v>735</v>
      </c>
      <c r="C21" s="8" t="s">
        <v>736</v>
      </c>
      <c r="D21" s="8" t="s">
        <v>737</v>
      </c>
      <c r="E21" s="8" t="s">
        <v>335</v>
      </c>
      <c r="F21" s="8" t="s">
        <v>738</v>
      </c>
      <c r="G21" s="8" t="s">
        <v>739</v>
      </c>
      <c r="H21" s="8" t="s">
        <v>740</v>
      </c>
    </row>
    <row r="22" ht="42.0" customHeight="1">
      <c r="A22" s="8">
        <v>2.0</v>
      </c>
      <c r="B22" s="8" t="s">
        <v>741</v>
      </c>
      <c r="C22" s="8" t="s">
        <v>742</v>
      </c>
      <c r="D22" s="8" t="s">
        <v>743</v>
      </c>
      <c r="E22" s="8" t="s">
        <v>335</v>
      </c>
      <c r="F22" s="8" t="s">
        <v>738</v>
      </c>
      <c r="G22" s="8" t="s">
        <v>744</v>
      </c>
      <c r="H22" s="8" t="s">
        <v>745</v>
      </c>
    </row>
    <row r="23" ht="42.0" customHeight="1">
      <c r="A23" s="8">
        <v>3.0</v>
      </c>
      <c r="B23" s="8" t="s">
        <v>746</v>
      </c>
      <c r="C23" s="8" t="s">
        <v>747</v>
      </c>
      <c r="D23" s="8" t="s">
        <v>748</v>
      </c>
      <c r="E23" s="8" t="s">
        <v>335</v>
      </c>
      <c r="F23" s="8" t="s">
        <v>749</v>
      </c>
      <c r="G23" s="8" t="s">
        <v>750</v>
      </c>
      <c r="H23" s="8" t="s">
        <v>751</v>
      </c>
    </row>
    <row r="24" ht="42.0" customHeight="1">
      <c r="A24" s="8">
        <v>4.0</v>
      </c>
      <c r="B24" s="8" t="s">
        <v>752</v>
      </c>
      <c r="C24" s="8" t="s">
        <v>753</v>
      </c>
      <c r="D24" s="8" t="s">
        <v>754</v>
      </c>
      <c r="E24" s="8" t="s">
        <v>335</v>
      </c>
      <c r="F24" s="8" t="s">
        <v>749</v>
      </c>
      <c r="G24" s="8" t="s">
        <v>755</v>
      </c>
      <c r="H24" s="8" t="s">
        <v>756</v>
      </c>
    </row>
    <row r="25" ht="42.0" customHeight="1">
      <c r="A25" s="8">
        <v>5.0</v>
      </c>
      <c r="B25" s="8" t="s">
        <v>757</v>
      </c>
      <c r="C25" s="8" t="s">
        <v>758</v>
      </c>
      <c r="D25" s="8" t="s">
        <v>759</v>
      </c>
      <c r="E25" s="8" t="s">
        <v>335</v>
      </c>
      <c r="F25" s="8" t="s">
        <v>760</v>
      </c>
      <c r="G25" s="8" t="s">
        <v>761</v>
      </c>
      <c r="H25" s="8" t="s">
        <v>762</v>
      </c>
    </row>
    <row r="26" ht="42.0" customHeight="1">
      <c r="A26" s="8">
        <v>6.0</v>
      </c>
      <c r="B26" s="8" t="s">
        <v>763</v>
      </c>
      <c r="C26" s="8" t="s">
        <v>764</v>
      </c>
      <c r="D26" s="8" t="s">
        <v>765</v>
      </c>
      <c r="E26" s="8" t="s">
        <v>766</v>
      </c>
      <c r="F26" s="8" t="s">
        <v>767</v>
      </c>
      <c r="G26" s="8" t="s">
        <v>768</v>
      </c>
      <c r="H26" s="8" t="s">
        <v>769</v>
      </c>
    </row>
    <row r="27" ht="15.75" customHeight="1"/>
    <row r="28" ht="15.75" customHeight="1"/>
    <row r="29" ht="24.0" customHeight="1">
      <c r="A29" s="48" t="s">
        <v>770</v>
      </c>
      <c r="B29" s="48" t="s">
        <v>771</v>
      </c>
      <c r="C29" s="48" t="s">
        <v>772</v>
      </c>
      <c r="D29" s="48" t="s">
        <v>773</v>
      </c>
      <c r="E29" s="48" t="s">
        <v>774</v>
      </c>
      <c r="F29" s="48" t="s">
        <v>775</v>
      </c>
      <c r="G29" s="48" t="s">
        <v>776</v>
      </c>
      <c r="H29" s="48" t="s">
        <v>777</v>
      </c>
      <c r="I29" s="48" t="s">
        <v>54</v>
      </c>
      <c r="J29" s="48" t="s">
        <v>95</v>
      </c>
      <c r="K29" s="48" t="s">
        <v>577</v>
      </c>
    </row>
    <row r="30" ht="48.0" customHeight="1">
      <c r="A30" s="8" t="s">
        <v>778</v>
      </c>
      <c r="B30" s="8" t="s">
        <v>779</v>
      </c>
      <c r="C30" s="8" t="s">
        <v>780</v>
      </c>
      <c r="D30" s="8" t="s">
        <v>781</v>
      </c>
      <c r="E30" s="8" t="s">
        <v>782</v>
      </c>
      <c r="F30" s="8" t="s">
        <v>783</v>
      </c>
      <c r="G30" s="8" t="s">
        <v>784</v>
      </c>
      <c r="H30" s="8" t="s">
        <v>785</v>
      </c>
      <c r="I30" s="8" t="s">
        <v>111</v>
      </c>
      <c r="J30" s="8" t="s">
        <v>786</v>
      </c>
      <c r="K30" s="8" t="s">
        <v>787</v>
      </c>
    </row>
    <row r="31" ht="48.0" customHeight="1">
      <c r="A31" s="8" t="s">
        <v>788</v>
      </c>
      <c r="B31" s="8" t="s">
        <v>789</v>
      </c>
      <c r="C31" s="8" t="s">
        <v>790</v>
      </c>
      <c r="D31" s="8" t="s">
        <v>791</v>
      </c>
      <c r="E31" s="8" t="s">
        <v>792</v>
      </c>
      <c r="F31" s="8" t="s">
        <v>793</v>
      </c>
      <c r="G31" s="8" t="s">
        <v>794</v>
      </c>
      <c r="H31" s="8" t="s">
        <v>795</v>
      </c>
      <c r="I31" s="8" t="s">
        <v>111</v>
      </c>
      <c r="J31" s="8" t="s">
        <v>786</v>
      </c>
      <c r="K31" s="8" t="s">
        <v>796</v>
      </c>
    </row>
    <row r="32" ht="48.0" customHeight="1">
      <c r="A32" s="8" t="s">
        <v>797</v>
      </c>
      <c r="B32" s="8" t="s">
        <v>798</v>
      </c>
      <c r="C32" s="8" t="s">
        <v>799</v>
      </c>
      <c r="D32" s="8" t="s">
        <v>800</v>
      </c>
      <c r="E32" s="8" t="s">
        <v>801</v>
      </c>
      <c r="F32" s="8" t="s">
        <v>802</v>
      </c>
      <c r="G32" s="8" t="s">
        <v>803</v>
      </c>
      <c r="H32" s="8" t="s">
        <v>804</v>
      </c>
      <c r="I32" s="8" t="s">
        <v>111</v>
      </c>
      <c r="J32" s="8" t="s">
        <v>805</v>
      </c>
      <c r="K32" s="8" t="s">
        <v>806</v>
      </c>
    </row>
    <row r="33" ht="48.0" customHeight="1">
      <c r="A33" s="8" t="s">
        <v>807</v>
      </c>
      <c r="B33" s="8" t="s">
        <v>808</v>
      </c>
      <c r="C33" s="8" t="s">
        <v>809</v>
      </c>
      <c r="D33" s="8" t="s">
        <v>810</v>
      </c>
      <c r="E33" s="8" t="s">
        <v>811</v>
      </c>
      <c r="F33" s="8" t="s">
        <v>812</v>
      </c>
      <c r="G33" s="8" t="s">
        <v>813</v>
      </c>
      <c r="H33" s="8" t="s">
        <v>814</v>
      </c>
      <c r="I33" s="8" t="s">
        <v>111</v>
      </c>
      <c r="J33" s="8" t="s">
        <v>786</v>
      </c>
      <c r="K33" s="8" t="s">
        <v>815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2"/>
    <mergeCell ref="A3:K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65.0"/>
    <col customWidth="1" min="3" max="3" width="18.0"/>
    <col customWidth="1" min="4" max="4" width="36.0"/>
    <col customWidth="1" min="5" max="5" width="4.0"/>
    <col customWidth="1" min="6" max="8" width="25.0"/>
    <col customWidth="1" min="9" max="26" width="8.63"/>
  </cols>
  <sheetData>
    <row r="1" ht="27.75" customHeight="1">
      <c r="A1" s="1" t="s">
        <v>816</v>
      </c>
    </row>
    <row r="2" ht="27.75" customHeight="1"/>
    <row r="4" ht="24.0" customHeight="1">
      <c r="A4" s="11" t="s">
        <v>575</v>
      </c>
      <c r="B4" s="11" t="s">
        <v>817</v>
      </c>
      <c r="F4" s="7" t="s">
        <v>818</v>
      </c>
    </row>
    <row r="5" ht="33.75" customHeight="1">
      <c r="A5" s="8" t="s">
        <v>819</v>
      </c>
      <c r="B5" s="8" t="s">
        <v>820</v>
      </c>
      <c r="F5" s="14" t="s">
        <v>821</v>
      </c>
    </row>
    <row r="6" ht="33.75" customHeight="1">
      <c r="A6" s="8" t="s">
        <v>23</v>
      </c>
      <c r="B6" s="8" t="s">
        <v>822</v>
      </c>
    </row>
    <row r="7" ht="33.75" customHeight="1">
      <c r="A7" s="8" t="s">
        <v>616</v>
      </c>
      <c r="B7" s="8" t="s">
        <v>823</v>
      </c>
    </row>
    <row r="8" ht="33.75" customHeight="1">
      <c r="A8" s="8" t="s">
        <v>824</v>
      </c>
      <c r="B8" s="8" t="s">
        <v>825</v>
      </c>
    </row>
    <row r="9" ht="33.75" customHeight="1">
      <c r="A9" s="8" t="s">
        <v>826</v>
      </c>
      <c r="B9" s="8" t="s">
        <v>827</v>
      </c>
    </row>
    <row r="10" ht="33.75" customHeight="1">
      <c r="A10" s="8" t="s">
        <v>828</v>
      </c>
      <c r="B10" s="8" t="s">
        <v>829</v>
      </c>
    </row>
    <row r="11" ht="33.75" customHeight="1">
      <c r="A11" s="8" t="s">
        <v>830</v>
      </c>
      <c r="B11" s="8" t="s">
        <v>831</v>
      </c>
    </row>
    <row r="12" ht="33.75" customHeight="1">
      <c r="A12" s="8" t="s">
        <v>832</v>
      </c>
      <c r="B12" s="8" t="s">
        <v>833</v>
      </c>
    </row>
    <row r="13" ht="33.75" customHeight="1">
      <c r="A13" s="8" t="s">
        <v>834</v>
      </c>
      <c r="B13" s="8" t="s">
        <v>835</v>
      </c>
    </row>
    <row r="14" ht="33.75" customHeight="1">
      <c r="A14" s="8" t="s">
        <v>836</v>
      </c>
      <c r="B14" s="8" t="s">
        <v>580</v>
      </c>
    </row>
    <row r="17" ht="24.0" customHeight="1">
      <c r="A17" s="3" t="s">
        <v>837</v>
      </c>
      <c r="B17" s="3" t="s">
        <v>728</v>
      </c>
      <c r="C17" s="3" t="s">
        <v>838</v>
      </c>
      <c r="D17" s="3" t="s">
        <v>577</v>
      </c>
    </row>
    <row r="18" ht="31.5" customHeight="1">
      <c r="A18" s="8" t="s">
        <v>582</v>
      </c>
      <c r="B18" s="8" t="s">
        <v>839</v>
      </c>
      <c r="C18" s="8" t="s">
        <v>840</v>
      </c>
      <c r="D18" s="8" t="s">
        <v>841</v>
      </c>
    </row>
    <row r="19" ht="31.5" customHeight="1">
      <c r="A19" s="8" t="s">
        <v>842</v>
      </c>
      <c r="B19" s="8" t="s">
        <v>843</v>
      </c>
      <c r="C19" s="8" t="s">
        <v>840</v>
      </c>
      <c r="D19" s="8" t="s">
        <v>844</v>
      </c>
    </row>
    <row r="20" ht="31.5" customHeight="1">
      <c r="A20" s="8" t="s">
        <v>845</v>
      </c>
      <c r="B20" s="8" t="s">
        <v>846</v>
      </c>
      <c r="C20" s="8" t="s">
        <v>847</v>
      </c>
      <c r="D20" s="8" t="s">
        <v>848</v>
      </c>
    </row>
    <row r="21" ht="31.5" customHeight="1">
      <c r="A21" s="8" t="s">
        <v>849</v>
      </c>
      <c r="B21" s="8" t="s">
        <v>850</v>
      </c>
      <c r="C21" s="8" t="s">
        <v>851</v>
      </c>
      <c r="D21" s="8" t="s">
        <v>852</v>
      </c>
    </row>
    <row r="22" ht="31.5" customHeight="1">
      <c r="A22" s="8" t="s">
        <v>853</v>
      </c>
      <c r="B22" s="8" t="s">
        <v>854</v>
      </c>
      <c r="C22" s="8" t="s">
        <v>851</v>
      </c>
      <c r="D22" s="8" t="s">
        <v>855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2"/>
    <mergeCell ref="F4:H4"/>
    <mergeCell ref="F5:H14"/>
  </mergeCells>
  <printOptions/>
  <pageMargins bottom="0.75" footer="0.0" header="0.0" left="0.7" right="0.7" top="0.75"/>
  <pageSetup orientation="landscape"/>
  <drawing r:id="rId1"/>
</worksheet>
</file>